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s16719-case study 3\"/>
    </mc:Choice>
  </mc:AlternateContent>
  <xr:revisionPtr revIDLastSave="0" documentId="13_ncr:1_{810FFA0E-26AD-4166-B2D6-24952046E97A}" xr6:coauthVersionLast="47" xr6:coauthVersionMax="47" xr10:uidLastSave="{00000000-0000-0000-0000-000000000000}"/>
  <bookViews>
    <workbookView xWindow="-108" yWindow="-108" windowWidth="23256" windowHeight="12456" xr2:uid="{7F64165A-20D9-45D8-921A-FC6379BF549B}"/>
  </bookViews>
  <sheets>
    <sheet name="Sheet1" sheetId="1" r:id="rId1"/>
    <sheet name="Sheet2" sheetId="2" r:id="rId2"/>
  </sheets>
  <definedNames>
    <definedName name="_xlchart.v1.0" hidden="1">Sheet1!$B$22:$B$46</definedName>
    <definedName name="_xlchart.v1.1" hidden="1">Sheet1!$H$22:$H$46</definedName>
    <definedName name="_xlchart.v1.2" hidden="1">Sheet1!$B$22:$B$46</definedName>
    <definedName name="_xlchart.v1.3" hidden="1">Sheet1!$H$22:$H$46</definedName>
    <definedName name="_xlchart.v1.4" hidden="1">Sheet1!$B$22:$B$46</definedName>
    <definedName name="_xlchart.v1.5" hidden="1">Sheet1!$B$22:$B$46</definedName>
    <definedName name="_xlchart.v1.6" hidden="1">Sheet1!$H$22:$H$46</definedName>
    <definedName name="_xlchart.v1.7" hidden="1">Sheet1!$H$22:$H$46</definedName>
    <definedName name="solver_adj" localSheetId="0" hidden="1">Sheet1!$H$22:$H$46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Sheet1!$H$22:$H$46</definedName>
    <definedName name="solver_lhs2" localSheetId="0" hidden="1">Sheet1!$H$47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Sheet1!$G$47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100%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5.41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47" i="1"/>
  <c r="J12" i="1"/>
  <c r="G12" i="1"/>
  <c r="H47" i="1"/>
  <c r="V68" i="1"/>
  <c r="E45" i="1" s="1"/>
  <c r="V69" i="1"/>
  <c r="E46" i="1" s="1"/>
  <c r="J46" i="1" s="1"/>
  <c r="V67" i="1"/>
  <c r="E44" i="1" s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E22" i="1" s="1"/>
  <c r="J22" i="1" s="1"/>
  <c r="Y38" i="1"/>
  <c r="E23" i="1" s="1"/>
  <c r="J23" i="1" s="1"/>
  <c r="Y39" i="1"/>
  <c r="Y40" i="1"/>
  <c r="E24" i="1" s="1"/>
  <c r="Y41" i="1"/>
  <c r="E25" i="1" s="1"/>
  <c r="Y42" i="1"/>
  <c r="E26" i="1" s="1"/>
  <c r="J26" i="1" s="1"/>
  <c r="Y43" i="1"/>
  <c r="E27" i="1" s="1"/>
  <c r="Y44" i="1"/>
  <c r="E28" i="1" s="1"/>
  <c r="Y45" i="1"/>
  <c r="E29" i="1" s="1"/>
  <c r="Y46" i="1"/>
  <c r="E30" i="1" s="1"/>
  <c r="Y47" i="1"/>
  <c r="E31" i="1" s="1"/>
  <c r="Y48" i="1"/>
  <c r="E32" i="1" s="1"/>
  <c r="Y49" i="1"/>
  <c r="E33" i="1" s="1"/>
  <c r="Y50" i="1"/>
  <c r="E34" i="1" s="1"/>
  <c r="J34" i="1" s="1"/>
  <c r="Y51" i="1"/>
  <c r="E35" i="1" s="1"/>
  <c r="Y52" i="1"/>
  <c r="E36" i="1" s="1"/>
  <c r="Y53" i="1"/>
  <c r="E37" i="1" s="1"/>
  <c r="Y54" i="1"/>
  <c r="E38" i="1" s="1"/>
  <c r="J38" i="1" s="1"/>
  <c r="Y55" i="1"/>
  <c r="E39" i="1" s="1"/>
  <c r="Y56" i="1"/>
  <c r="E40" i="1" s="1"/>
  <c r="Y57" i="1"/>
  <c r="E41" i="1" s="1"/>
  <c r="Y58" i="1"/>
  <c r="E42" i="1" s="1"/>
  <c r="J42" i="1" s="1"/>
  <c r="Y59" i="1"/>
  <c r="E43" i="1" s="1"/>
  <c r="Y6" i="1"/>
  <c r="E8" i="1"/>
  <c r="F8" i="1" a="1"/>
  <c r="J30" i="1" l="1"/>
  <c r="J43" i="1"/>
  <c r="J39" i="1"/>
  <c r="J35" i="1"/>
  <c r="J31" i="1"/>
  <c r="J27" i="1"/>
  <c r="J41" i="1"/>
  <c r="J37" i="1"/>
  <c r="J33" i="1"/>
  <c r="J29" i="1"/>
  <c r="J25" i="1"/>
  <c r="J40" i="1"/>
  <c r="J36" i="1"/>
  <c r="J32" i="1"/>
  <c r="J28" i="1"/>
  <c r="J24" i="1"/>
  <c r="G45" i="1"/>
  <c r="J45" i="1"/>
  <c r="F45" i="1"/>
  <c r="F44" i="1"/>
  <c r="J44" i="1"/>
  <c r="F41" i="1"/>
  <c r="F37" i="1"/>
  <c r="F29" i="1"/>
  <c r="G40" i="1"/>
  <c r="G32" i="1"/>
  <c r="G46" i="1"/>
  <c r="F46" i="1"/>
  <c r="F22" i="1"/>
  <c r="F36" i="1"/>
  <c r="F28" i="1"/>
  <c r="F24" i="1"/>
  <c r="F23" i="1"/>
  <c r="G28" i="1"/>
  <c r="G44" i="1"/>
  <c r="F43" i="1"/>
  <c r="F39" i="1"/>
  <c r="F35" i="1"/>
  <c r="F31" i="1"/>
  <c r="F27" i="1"/>
  <c r="F42" i="1"/>
  <c r="F38" i="1"/>
  <c r="F34" i="1"/>
  <c r="F30" i="1"/>
  <c r="F26" i="1"/>
  <c r="G22" i="1"/>
  <c r="F40" i="1"/>
  <c r="F32" i="1"/>
  <c r="G41" i="1"/>
  <c r="G37" i="1"/>
  <c r="G33" i="1"/>
  <c r="G29" i="1"/>
  <c r="G25" i="1"/>
  <c r="F33" i="1"/>
  <c r="G36" i="1"/>
  <c r="G24" i="1"/>
  <c r="G43" i="1"/>
  <c r="G39" i="1"/>
  <c r="G35" i="1"/>
  <c r="G31" i="1"/>
  <c r="G27" i="1"/>
  <c r="G42" i="1"/>
  <c r="G38" i="1"/>
  <c r="G30" i="1"/>
  <c r="G26" i="1"/>
  <c r="G23" i="1"/>
  <c r="F25" i="1"/>
  <c r="G34" i="1"/>
  <c r="F8" i="1"/>
  <c r="G8" i="1" s="1"/>
  <c r="I8" i="1"/>
  <c r="J8" i="1"/>
  <c r="K8" i="1"/>
  <c r="G47" i="1" l="1"/>
  <c r="K9" i="1"/>
  <c r="K10" i="1"/>
  <c r="K11" i="1"/>
  <c r="K12" i="1"/>
  <c r="K13" i="1"/>
  <c r="K14" i="1"/>
  <c r="K15" i="1"/>
  <c r="K16" i="1"/>
  <c r="K7" i="1"/>
  <c r="K17" i="1" l="1"/>
  <c r="E9" i="1"/>
  <c r="E10" i="1"/>
  <c r="E11" i="1"/>
  <c r="E12" i="1"/>
  <c r="E13" i="1"/>
  <c r="E14" i="1"/>
  <c r="E15" i="1"/>
  <c r="E16" i="1"/>
  <c r="O3" i="2"/>
  <c r="O4" i="2"/>
  <c r="O5" i="2"/>
  <c r="O6" i="2"/>
  <c r="O7" i="2"/>
  <c r="O8" i="2"/>
  <c r="O9" i="2"/>
  <c r="O10" i="2"/>
  <c r="O11" i="2"/>
  <c r="O12" i="2"/>
  <c r="O13" i="2"/>
  <c r="O2" i="2"/>
  <c r="N3" i="2"/>
  <c r="N2" i="2"/>
  <c r="G4" i="2"/>
  <c r="G5" i="2"/>
  <c r="G6" i="2"/>
  <c r="G7" i="2"/>
  <c r="G8" i="2"/>
  <c r="G9" i="2"/>
  <c r="G10" i="2"/>
  <c r="G11" i="2"/>
  <c r="G12" i="2"/>
  <c r="G13" i="2"/>
  <c r="G14" i="2"/>
  <c r="G3" i="2"/>
  <c r="E7" i="1"/>
  <c r="F12" i="1" a="1"/>
  <c r="F10" i="1" a="1"/>
  <c r="F11" i="1" a="1"/>
  <c r="F13" i="1" a="1"/>
  <c r="F15" i="1" a="1"/>
  <c r="F14" i="1" a="1"/>
  <c r="F9" i="1" a="1"/>
  <c r="F7" i="1" a="1"/>
  <c r="F16" i="1" a="1"/>
  <c r="F15" i="1" l="1"/>
  <c r="F13" i="1"/>
  <c r="F9" i="1"/>
  <c r="F11" i="1"/>
  <c r="F16" i="1"/>
  <c r="F14" i="1"/>
  <c r="F12" i="1"/>
  <c r="F10" i="1"/>
  <c r="F7" i="1"/>
  <c r="J7" i="1" s="1"/>
  <c r="J10" i="1" l="1"/>
  <c r="G10" i="1"/>
  <c r="I10" i="1"/>
  <c r="J11" i="1"/>
  <c r="G11" i="1"/>
  <c r="I11" i="1"/>
  <c r="I12" i="1"/>
  <c r="J9" i="1"/>
  <c r="I9" i="1"/>
  <c r="G9" i="1"/>
  <c r="J14" i="1"/>
  <c r="G14" i="1"/>
  <c r="I14" i="1"/>
  <c r="J13" i="1"/>
  <c r="I13" i="1"/>
  <c r="G13" i="1"/>
  <c r="I7" i="1"/>
  <c r="G7" i="1"/>
  <c r="J16" i="1"/>
  <c r="G16" i="1"/>
  <c r="I16" i="1"/>
  <c r="J15" i="1"/>
  <c r="G15" i="1"/>
  <c r="I15" i="1"/>
  <c r="G17" i="1" l="1"/>
  <c r="J17" i="1"/>
  <c r="E60" i="1" s="1"/>
  <c r="H15" i="1" l="1"/>
  <c r="K24" i="1"/>
  <c r="K28" i="1"/>
  <c r="K32" i="1"/>
  <c r="K36" i="1"/>
  <c r="K40" i="1"/>
  <c r="K44" i="1"/>
  <c r="K26" i="1"/>
  <c r="K34" i="1"/>
  <c r="K42" i="1"/>
  <c r="K27" i="1"/>
  <c r="K35" i="1"/>
  <c r="K46" i="1"/>
  <c r="K25" i="1"/>
  <c r="K29" i="1"/>
  <c r="K33" i="1"/>
  <c r="K37" i="1"/>
  <c r="K41" i="1"/>
  <c r="K45" i="1"/>
  <c r="K30" i="1"/>
  <c r="K38" i="1"/>
  <c r="K22" i="1"/>
  <c r="K23" i="1"/>
  <c r="K31" i="1"/>
  <c r="K39" i="1"/>
  <c r="K43" i="1"/>
  <c r="H11" i="1"/>
  <c r="H10" i="1"/>
  <c r="H7" i="1"/>
  <c r="H8" i="1"/>
  <c r="H13" i="1"/>
  <c r="H12" i="1"/>
  <c r="H9" i="1"/>
  <c r="H14" i="1"/>
  <c r="H16" i="1"/>
  <c r="K47" i="1" l="1"/>
  <c r="I17" i="1"/>
  <c r="K51" i="1" l="1"/>
  <c r="F6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<sst xmlns="http://schemas.openxmlformats.org/spreadsheetml/2006/main" count="166" uniqueCount="116">
  <si>
    <t>Settlement date</t>
  </si>
  <si>
    <t>Market shift</t>
  </si>
  <si>
    <t>Liabilities</t>
  </si>
  <si>
    <t>Amount</t>
  </si>
  <si>
    <t>Maturities</t>
  </si>
  <si>
    <t>Years to maturity</t>
  </si>
  <si>
    <t>Yield rate</t>
  </si>
  <si>
    <t xml:space="preserve"> Weighted Average Yield Rates               ( % Per Annum)</t>
  </si>
  <si>
    <t xml:space="preserve">Last Primary Auctions </t>
  </si>
  <si>
    <t>Last Traded Secondary Market Rates       ( Reported by PDs.)</t>
  </si>
  <si>
    <t>Two Way Quotes for</t>
  </si>
  <si>
    <t>Bid</t>
  </si>
  <si>
    <t>Offer</t>
  </si>
  <si>
    <t xml:space="preserve">Treasury Bills </t>
  </si>
  <si>
    <t>&lt;  91 Days</t>
  </si>
  <si>
    <t>&lt; 182 Days</t>
  </si>
  <si>
    <t>&lt; 364 Days</t>
  </si>
  <si>
    <t>Treasury Bonds</t>
  </si>
  <si>
    <t>&lt; 2 Year</t>
  </si>
  <si>
    <t>&lt; 3 Year</t>
  </si>
  <si>
    <t>&lt; 4 Year</t>
  </si>
  <si>
    <t>&lt; 5 Year</t>
  </si>
  <si>
    <t>&lt; 6 Year</t>
  </si>
  <si>
    <t>&lt; 8 Year</t>
  </si>
  <si>
    <t>-</t>
  </si>
  <si>
    <t>&lt;10 Year</t>
  </si>
  <si>
    <t>&lt; 15 Year</t>
  </si>
  <si>
    <t>&lt; 20 Year</t>
  </si>
  <si>
    <t>&lt; 30 Year</t>
  </si>
  <si>
    <t>Average</t>
  </si>
  <si>
    <t>PV</t>
  </si>
  <si>
    <t>Sum of PV</t>
  </si>
  <si>
    <t>Weights</t>
  </si>
  <si>
    <t>Mduration</t>
  </si>
  <si>
    <t>New value</t>
  </si>
  <si>
    <t>Time to maturity</t>
  </si>
  <si>
    <t>Assets</t>
  </si>
  <si>
    <t>Bonds and T-Bills</t>
  </si>
  <si>
    <t>Maturity</t>
  </si>
  <si>
    <t xml:space="preserve">Rate </t>
  </si>
  <si>
    <t>Yield</t>
  </si>
  <si>
    <t>Price</t>
  </si>
  <si>
    <t>Value</t>
  </si>
  <si>
    <t>New price</t>
  </si>
  <si>
    <t>Main Menu</t>
  </si>
  <si>
    <t>Average Buying Price</t>
  </si>
  <si>
    <t>Average Selling Price</t>
  </si>
  <si>
    <t>Buying &amp; Selling Spread</t>
  </si>
  <si>
    <t>17.00%2025A</t>
  </si>
  <si>
    <t>18.00%2025A</t>
  </si>
  <si>
    <t>11.00%2025A</t>
  </si>
  <si>
    <t>10.35%2025A</t>
  </si>
  <si>
    <t>06.75%2026A</t>
  </si>
  <si>
    <t>09.00%2026A</t>
  </si>
  <si>
    <t>05.35%2026A</t>
  </si>
  <si>
    <t>22.50%2026A</t>
  </si>
  <si>
    <t>11.00%2026A</t>
  </si>
  <si>
    <t>11.50%2026A</t>
  </si>
  <si>
    <t>11.25%2026A</t>
  </si>
  <si>
    <t>11.40%2027A</t>
  </si>
  <si>
    <t>18.00%2027A</t>
  </si>
  <si>
    <t>11.75%2027A</t>
  </si>
  <si>
    <t>07.80%2027A</t>
  </si>
  <si>
    <t>20.00%2027A</t>
  </si>
  <si>
    <t>10.30%2027A</t>
  </si>
  <si>
    <t>11.25%2027A</t>
  </si>
  <si>
    <t>10.75%2028B</t>
  </si>
  <si>
    <t>10.75%2028A</t>
  </si>
  <si>
    <t>09.00%2028B</t>
  </si>
  <si>
    <t>09.00%2028A</t>
  </si>
  <si>
    <t>11.50%2028A</t>
  </si>
  <si>
    <t>11.00%2028A</t>
  </si>
  <si>
    <t>11.50%2028B</t>
  </si>
  <si>
    <t>13.00%2029A</t>
  </si>
  <si>
    <t>13.00%2029B</t>
  </si>
  <si>
    <t>11.75%2029A</t>
  </si>
  <si>
    <t>20.00%2029A</t>
  </si>
  <si>
    <t>11.00%2029A</t>
  </si>
  <si>
    <t>10.35%2029A</t>
  </si>
  <si>
    <t>11.00%2029B</t>
  </si>
  <si>
    <t>11.00%2030A</t>
  </si>
  <si>
    <t>11.00%2030B</t>
  </si>
  <si>
    <t>11.25%2031A</t>
  </si>
  <si>
    <t xml:space="preserve">18.00%2031A </t>
  </si>
  <si>
    <t xml:space="preserve">12.00%2031A </t>
  </si>
  <si>
    <t>08.00%2032A</t>
  </si>
  <si>
    <t>18.00%2032A</t>
  </si>
  <si>
    <t>09.00%2032A</t>
  </si>
  <si>
    <t>11.50%2032A</t>
  </si>
  <si>
    <t>11.20%2033A</t>
  </si>
  <si>
    <t>09.00%2033A</t>
  </si>
  <si>
    <t>13.25%2033A</t>
  </si>
  <si>
    <t>09.00%2033B</t>
  </si>
  <si>
    <t>13.25%2034A</t>
  </si>
  <si>
    <t>10.25%2034A</t>
  </si>
  <si>
    <t>11.50%2035A</t>
  </si>
  <si>
    <t>10.50%2039A</t>
  </si>
  <si>
    <t>12.00%2041A</t>
  </si>
  <si>
    <t>09.00%2043A</t>
  </si>
  <si>
    <t>13.50%2044A</t>
  </si>
  <si>
    <t>13.50%2044B</t>
  </si>
  <si>
    <t>12.50%2045A</t>
  </si>
  <si>
    <t>3Months</t>
  </si>
  <si>
    <t>6 Months</t>
  </si>
  <si>
    <t>1Year</t>
  </si>
  <si>
    <t>TWO_WAY QUOTES (TREASURY BILLS)</t>
  </si>
  <si>
    <t xml:space="preserve">             REPORTING DATE   :</t>
  </si>
  <si>
    <t>Remaining Maturity</t>
  </si>
  <si>
    <t>3 Month</t>
  </si>
  <si>
    <t>6 Month</t>
  </si>
  <si>
    <t>12 Month</t>
  </si>
  <si>
    <t>Surplus</t>
  </si>
  <si>
    <t>Data from PD report</t>
  </si>
  <si>
    <t>Bonds</t>
  </si>
  <si>
    <t>T-Bills</t>
  </si>
  <si>
    <t>PV of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</si>
</sst>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"/>
    <numFmt numFmtId="165" formatCode="0.0000_);[Red]\(0.0000\)"/>
    <numFmt numFmtId="166" formatCode="0.00000000"/>
    <numFmt numFmtId="167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B0F0"/>
      </right>
      <top style="medium">
        <color indexed="64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medium">
        <color indexed="64"/>
      </top>
      <bottom style="hair">
        <color rgb="FF00B0F0"/>
      </bottom>
      <diagonal/>
    </border>
    <border>
      <left style="hair">
        <color rgb="FF00B0F0"/>
      </left>
      <right style="medium">
        <color indexed="64"/>
      </right>
      <top style="medium">
        <color indexed="64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medium">
        <color indexed="64"/>
      </right>
      <top style="hair">
        <color rgb="FF00B0F0"/>
      </top>
      <bottom style="hair">
        <color rgb="FF00B0F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rgb="FF00B0F0"/>
      </right>
      <top style="hair">
        <color rgb="FF00B0F0"/>
      </top>
      <bottom style="thin">
        <color indexed="64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thin">
        <color indexed="64"/>
      </bottom>
      <diagonal/>
    </border>
    <border>
      <left style="hair">
        <color rgb="FF00B0F0"/>
      </left>
      <right style="medium">
        <color indexed="64"/>
      </right>
      <top style="hair">
        <color rgb="FF00B0F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rgb="FF00B0F0"/>
      </left>
      <right style="hair">
        <color rgb="FF00B0F0"/>
      </right>
      <top style="medium">
        <color indexed="64"/>
      </top>
      <bottom style="medium">
        <color indexed="64"/>
      </bottom>
      <diagonal/>
    </border>
    <border>
      <left style="hair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  <border>
      <left style="hair">
        <color rgb="FF00B0F0"/>
      </left>
      <right style="medium">
        <color indexed="64"/>
      </right>
      <top/>
      <bottom style="hair">
        <color rgb="FF00B0F0"/>
      </bottom>
      <diagonal/>
    </border>
    <border>
      <left style="medium">
        <color indexed="64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/>
      <diagonal/>
    </border>
    <border>
      <left style="hair">
        <color rgb="FF00B0F0"/>
      </left>
      <right style="medium">
        <color indexed="64"/>
      </right>
      <top style="hair">
        <color rgb="FF00B0F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hair">
        <color rgb="FF00B0F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B0F0"/>
      </right>
      <top style="hair">
        <color rgb="FF00B0F0"/>
      </top>
      <bottom/>
      <diagonal/>
    </border>
    <border>
      <left style="hair">
        <color rgb="FF00B0F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hair">
        <color rgb="FF00B0F0"/>
      </top>
      <bottom style="thin">
        <color indexed="64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75">
    <xf numFmtId="0" fontId="0" fillId="0" borderId="0" xfId="0"/>
    <xf numFmtId="14" fontId="0" fillId="2" borderId="0" xfId="0" applyNumberFormat="1" applyFill="1"/>
    <xf numFmtId="9" fontId="0" fillId="2" borderId="0" xfId="0" applyNumberFormat="1" applyFill="1"/>
    <xf numFmtId="0" fontId="2" fillId="3" borderId="5" xfId="0" applyFont="1" applyFill="1" applyBorder="1" applyAlignment="1">
      <alignment horizontal="right" vertical="center" wrapText="1"/>
    </xf>
    <xf numFmtId="15" fontId="2" fillId="3" borderId="6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10" fontId="6" fillId="5" borderId="15" xfId="0" applyNumberFormat="1" applyFont="1" applyFill="1" applyBorder="1" applyAlignment="1">
      <alignment horizontal="center" vertical="center"/>
    </xf>
    <xf numFmtId="10" fontId="6" fillId="5" borderId="16" xfId="0" applyNumberFormat="1" applyFont="1" applyFill="1" applyBorder="1" applyAlignment="1">
      <alignment horizontal="center" vertical="center"/>
    </xf>
    <xf numFmtId="10" fontId="6" fillId="5" borderId="17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0" fontId="6" fillId="6" borderId="18" xfId="0" applyNumberFormat="1" applyFont="1" applyFill="1" applyBorder="1" applyAlignment="1">
      <alignment horizontal="center" vertical="center"/>
    </xf>
    <xf numFmtId="10" fontId="6" fillId="6" borderId="19" xfId="0" applyNumberFormat="1" applyFont="1" applyFill="1" applyBorder="1" applyAlignment="1">
      <alignment horizontal="center" vertical="center"/>
    </xf>
    <xf numFmtId="10" fontId="6" fillId="6" borderId="20" xfId="0" applyNumberFormat="1" applyFont="1" applyFill="1" applyBorder="1" applyAlignment="1">
      <alignment horizontal="center" vertical="center"/>
    </xf>
    <xf numFmtId="10" fontId="6" fillId="5" borderId="18" xfId="0" applyNumberFormat="1" applyFont="1" applyFill="1" applyBorder="1" applyAlignment="1">
      <alignment horizontal="center" vertical="center"/>
    </xf>
    <xf numFmtId="10" fontId="6" fillId="5" borderId="19" xfId="0" applyNumberFormat="1" applyFont="1" applyFill="1" applyBorder="1" applyAlignment="1">
      <alignment horizontal="center" vertical="center"/>
    </xf>
    <xf numFmtId="10" fontId="6" fillId="5" borderId="20" xfId="0" applyNumberFormat="1" applyFont="1" applyFill="1" applyBorder="1" applyAlignment="1">
      <alignment horizontal="center" vertical="center"/>
    </xf>
    <xf numFmtId="10" fontId="6" fillId="5" borderId="23" xfId="0" applyNumberFormat="1" applyFont="1" applyFill="1" applyBorder="1" applyAlignment="1">
      <alignment horizontal="center" vertical="center"/>
    </xf>
    <xf numFmtId="10" fontId="6" fillId="5" borderId="24" xfId="0" applyNumberFormat="1" applyFont="1" applyFill="1" applyBorder="1" applyAlignment="1">
      <alignment horizontal="center" vertical="center"/>
    </xf>
    <xf numFmtId="10" fontId="6" fillId="5" borderId="25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3" fillId="0" borderId="0" xfId="0" applyNumberFormat="1" applyFont="1"/>
    <xf numFmtId="0" fontId="5" fillId="4" borderId="2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2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7" fillId="10" borderId="19" xfId="0" applyFont="1" applyFill="1" applyBorder="1" applyAlignment="1" applyProtection="1">
      <alignment horizontal="center"/>
      <protection locked="0"/>
    </xf>
    <xf numFmtId="15" fontId="7" fillId="10" borderId="19" xfId="0" applyNumberFormat="1" applyFont="1" applyFill="1" applyBorder="1" applyAlignment="1" applyProtection="1">
      <alignment horizontal="center"/>
      <protection locked="0"/>
    </xf>
    <xf numFmtId="15" fontId="7" fillId="0" borderId="19" xfId="0" applyNumberFormat="1" applyFont="1" applyBorder="1" applyAlignment="1" applyProtection="1">
      <alignment horizontal="center"/>
      <protection locked="0"/>
    </xf>
    <xf numFmtId="0" fontId="3" fillId="0" borderId="0" xfId="0" applyFont="1"/>
    <xf numFmtId="164" fontId="8" fillId="0" borderId="0" xfId="2" applyNumberFormat="1" applyFont="1" applyFill="1" applyBorder="1" applyAlignment="1" applyProtection="1">
      <alignment horizontal="center"/>
      <protection hidden="1"/>
    </xf>
    <xf numFmtId="10" fontId="13" fillId="0" borderId="0" xfId="0" applyNumberFormat="1" applyFont="1" applyAlignment="1" applyProtection="1">
      <alignment horizontal="center" vertical="center" wrapText="1"/>
      <protection locked="0" hidden="1"/>
    </xf>
    <xf numFmtId="165" fontId="13" fillId="0" borderId="0" xfId="0" applyNumberFormat="1" applyFont="1" applyAlignment="1" applyProtection="1">
      <alignment horizontal="center" vertical="center" wrapText="1"/>
      <protection hidden="1"/>
    </xf>
    <xf numFmtId="10" fontId="3" fillId="5" borderId="0" xfId="0" applyNumberFormat="1" applyFont="1" applyFill="1"/>
    <xf numFmtId="0" fontId="7" fillId="0" borderId="19" xfId="0" applyFont="1" applyBorder="1" applyAlignment="1" applyProtection="1">
      <alignment horizontal="center"/>
      <protection locked="0"/>
    </xf>
    <xf numFmtId="0" fontId="12" fillId="3" borderId="0" xfId="0" applyFont="1" applyFill="1" applyProtection="1">
      <protection hidden="1"/>
    </xf>
    <xf numFmtId="0" fontId="11" fillId="3" borderId="0" xfId="0" applyFont="1" applyFill="1" applyAlignment="1" applyProtection="1">
      <alignment horizontal="left"/>
      <protection hidden="1"/>
    </xf>
    <xf numFmtId="0" fontId="11" fillId="3" borderId="29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15" fontId="11" fillId="3" borderId="0" xfId="0" applyNumberFormat="1" applyFont="1" applyFill="1" applyAlignment="1" applyProtection="1">
      <alignment horizontal="center"/>
      <protection hidden="1"/>
    </xf>
    <xf numFmtId="15" fontId="12" fillId="3" borderId="0" xfId="0" applyNumberFormat="1" applyFont="1" applyFill="1" applyAlignment="1" applyProtection="1">
      <alignment horizontal="left"/>
      <protection hidden="1"/>
    </xf>
    <xf numFmtId="0" fontId="11" fillId="3" borderId="32" xfId="0" applyFont="1" applyFill="1" applyBorder="1" applyAlignment="1" applyProtection="1">
      <alignment horizontal="center" vertical="center" wrapText="1"/>
      <protection hidden="1"/>
    </xf>
    <xf numFmtId="0" fontId="11" fillId="3" borderId="33" xfId="0" applyFont="1" applyFill="1" applyBorder="1" applyAlignment="1" applyProtection="1">
      <alignment horizontal="center" vertical="center" wrapText="1"/>
      <protection hidden="1"/>
    </xf>
    <xf numFmtId="1" fontId="7" fillId="10" borderId="19" xfId="0" applyNumberFormat="1" applyFont="1" applyFill="1" applyBorder="1" applyAlignment="1" applyProtection="1">
      <alignment horizontal="center"/>
      <protection hidden="1"/>
    </xf>
    <xf numFmtId="164" fontId="8" fillId="5" borderId="19" xfId="2" applyNumberFormat="1" applyFont="1" applyFill="1" applyBorder="1" applyAlignment="1" applyProtection="1">
      <alignment horizontal="center"/>
      <protection hidden="1"/>
    </xf>
    <xf numFmtId="10" fontId="8" fillId="6" borderId="19" xfId="2" applyNumberFormat="1" applyFont="1" applyFill="1" applyBorder="1" applyAlignment="1" applyProtection="1">
      <alignment horizontal="center"/>
      <protection locked="0" hidden="1"/>
    </xf>
    <xf numFmtId="164" fontId="8" fillId="5" borderId="20" xfId="0" applyNumberFormat="1" applyFont="1" applyFill="1" applyBorder="1" applyAlignment="1" applyProtection="1">
      <alignment horizontal="center"/>
      <protection hidden="1"/>
    </xf>
    <xf numFmtId="166" fontId="0" fillId="0" borderId="0" xfId="0" applyNumberFormat="1"/>
    <xf numFmtId="9" fontId="0" fillId="0" borderId="0" xfId="2" applyFont="1" applyFill="1"/>
    <xf numFmtId="0" fontId="7" fillId="10" borderId="37" xfId="0" applyFont="1" applyFill="1" applyBorder="1" applyAlignment="1" applyProtection="1">
      <alignment horizontal="center"/>
      <protection locked="0"/>
    </xf>
    <xf numFmtId="15" fontId="7" fillId="10" borderId="37" xfId="0" applyNumberFormat="1" applyFont="1" applyFill="1" applyBorder="1" applyAlignment="1" applyProtection="1">
      <alignment horizontal="center"/>
      <protection locked="0"/>
    </xf>
    <xf numFmtId="1" fontId="7" fillId="10" borderId="37" xfId="0" applyNumberFormat="1" applyFont="1" applyFill="1" applyBorder="1" applyAlignment="1" applyProtection="1">
      <alignment horizontal="center"/>
      <protection hidden="1"/>
    </xf>
    <xf numFmtId="164" fontId="8" fillId="5" borderId="37" xfId="2" applyNumberFormat="1" applyFont="1" applyFill="1" applyBorder="1" applyAlignment="1" applyProtection="1">
      <alignment horizontal="center"/>
      <protection hidden="1"/>
    </xf>
    <xf numFmtId="10" fontId="8" fillId="6" borderId="37" xfId="2" applyNumberFormat="1" applyFont="1" applyFill="1" applyBorder="1" applyAlignment="1" applyProtection="1">
      <alignment horizontal="center"/>
      <protection locked="0" hidden="1"/>
    </xf>
    <xf numFmtId="164" fontId="8" fillId="5" borderId="38" xfId="0" applyNumberFormat="1" applyFont="1" applyFill="1" applyBorder="1" applyAlignment="1" applyProtection="1">
      <alignment horizontal="center"/>
      <protection hidden="1"/>
    </xf>
    <xf numFmtId="0" fontId="7" fillId="10" borderId="34" xfId="0" applyFont="1" applyFill="1" applyBorder="1" applyAlignment="1" applyProtection="1">
      <alignment horizontal="center"/>
      <protection locked="0"/>
    </xf>
    <xf numFmtId="15" fontId="7" fillId="10" borderId="34" xfId="0" applyNumberFormat="1" applyFont="1" applyFill="1" applyBorder="1" applyAlignment="1" applyProtection="1">
      <alignment horizontal="center"/>
      <protection locked="0"/>
    </xf>
    <xf numFmtId="1" fontId="7" fillId="10" borderId="34" xfId="0" applyNumberFormat="1" applyFont="1" applyFill="1" applyBorder="1" applyAlignment="1" applyProtection="1">
      <alignment horizontal="center"/>
      <protection hidden="1"/>
    </xf>
    <xf numFmtId="164" fontId="8" fillId="5" borderId="34" xfId="2" applyNumberFormat="1" applyFont="1" applyFill="1" applyBorder="1" applyAlignment="1" applyProtection="1">
      <alignment horizontal="center"/>
      <protection hidden="1"/>
    </xf>
    <xf numFmtId="10" fontId="8" fillId="6" borderId="34" xfId="2" applyNumberFormat="1" applyFont="1" applyFill="1" applyBorder="1" applyAlignment="1" applyProtection="1">
      <alignment horizontal="center"/>
      <protection locked="0" hidden="1"/>
    </xf>
    <xf numFmtId="164" fontId="8" fillId="5" borderId="35" xfId="0" applyNumberFormat="1" applyFont="1" applyFill="1" applyBorder="1" applyAlignment="1" applyProtection="1">
      <alignment horizontal="center"/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7" fillId="10" borderId="0" xfId="0" applyFont="1" applyFill="1" applyAlignment="1" applyProtection="1">
      <alignment horizontal="center"/>
      <protection locked="0"/>
    </xf>
    <xf numFmtId="15" fontId="7" fillId="10" borderId="0" xfId="0" applyNumberFormat="1" applyFont="1" applyFill="1" applyAlignment="1" applyProtection="1">
      <alignment horizontal="center"/>
      <protection locked="0"/>
    </xf>
    <xf numFmtId="1" fontId="7" fillId="10" borderId="0" xfId="0" applyNumberFormat="1" applyFont="1" applyFill="1" applyAlignment="1" applyProtection="1">
      <alignment horizontal="center"/>
      <protection hidden="1"/>
    </xf>
    <xf numFmtId="10" fontId="8" fillId="6" borderId="0" xfId="2" applyNumberFormat="1" applyFont="1" applyFill="1" applyBorder="1" applyAlignment="1" applyProtection="1">
      <alignment horizontal="center"/>
      <protection locked="0" hidden="1"/>
    </xf>
    <xf numFmtId="0" fontId="11" fillId="3" borderId="39" xfId="3" applyFont="1" applyFill="1" applyBorder="1" applyAlignment="1" applyProtection="1">
      <alignment horizontal="center"/>
      <protection hidden="1"/>
    </xf>
    <xf numFmtId="15" fontId="11" fillId="3" borderId="31" xfId="0" applyNumberFormat="1" applyFont="1" applyFill="1" applyBorder="1" applyAlignment="1" applyProtection="1">
      <alignment horizontal="center"/>
      <protection hidden="1"/>
    </xf>
    <xf numFmtId="0" fontId="12" fillId="3" borderId="30" xfId="0" applyFont="1" applyFill="1" applyBorder="1" applyProtection="1">
      <protection hidden="1"/>
    </xf>
    <xf numFmtId="0" fontId="11" fillId="3" borderId="40" xfId="0" applyFont="1" applyFill="1" applyBorder="1" applyAlignment="1" applyProtection="1">
      <alignment horizontal="center" vertical="center" wrapText="1"/>
      <protection hidden="1"/>
    </xf>
    <xf numFmtId="0" fontId="5" fillId="12" borderId="36" xfId="0" applyFont="1" applyFill="1" applyBorder="1" applyAlignment="1" applyProtection="1">
      <alignment horizontal="center"/>
      <protection hidden="1"/>
    </xf>
    <xf numFmtId="165" fontId="14" fillId="12" borderId="19" xfId="0" applyNumberFormat="1" applyFont="1" applyFill="1" applyBorder="1" applyAlignment="1" applyProtection="1">
      <alignment horizontal="center" vertical="center" wrapText="1"/>
      <protection hidden="1"/>
    </xf>
    <xf numFmtId="10" fontId="13" fillId="5" borderId="19" xfId="0" applyNumberFormat="1" applyFont="1" applyFill="1" applyBorder="1" applyAlignment="1" applyProtection="1">
      <alignment horizontal="center" vertical="center" wrapText="1"/>
      <protection locked="0" hidden="1"/>
    </xf>
    <xf numFmtId="165" fontId="13" fillId="5" borderId="19" xfId="0" applyNumberFormat="1" applyFont="1" applyFill="1" applyBorder="1" applyAlignment="1" applyProtection="1">
      <alignment horizontal="center" vertical="center" wrapText="1"/>
      <protection hidden="1"/>
    </xf>
    <xf numFmtId="165" fontId="13" fillId="5" borderId="20" xfId="0" applyNumberFormat="1" applyFont="1" applyFill="1" applyBorder="1" applyAlignment="1" applyProtection="1">
      <alignment horizontal="center" vertical="center" wrapText="1"/>
      <protection hidden="1"/>
    </xf>
    <xf numFmtId="10" fontId="13" fillId="6" borderId="19" xfId="0" applyNumberFormat="1" applyFont="1" applyFill="1" applyBorder="1" applyAlignment="1" applyProtection="1">
      <alignment horizontal="center" vertical="center" wrapText="1"/>
      <protection locked="0" hidden="1"/>
    </xf>
    <xf numFmtId="165" fontId="13" fillId="6" borderId="19" xfId="0" applyNumberFormat="1" applyFont="1" applyFill="1" applyBorder="1" applyAlignment="1" applyProtection="1">
      <alignment horizontal="center" vertical="center" wrapText="1"/>
      <protection hidden="1"/>
    </xf>
    <xf numFmtId="165" fontId="13" fillId="6" borderId="20" xfId="0" applyNumberFormat="1" applyFont="1" applyFill="1" applyBorder="1" applyAlignment="1" applyProtection="1">
      <alignment horizontal="center" vertical="center" wrapText="1"/>
      <protection hidden="1"/>
    </xf>
    <xf numFmtId="16" fontId="5" fillId="12" borderId="41" xfId="0" applyNumberFormat="1" applyFont="1" applyFill="1" applyBorder="1" applyAlignment="1" applyProtection="1">
      <alignment horizontal="center"/>
      <protection hidden="1"/>
    </xf>
    <xf numFmtId="165" fontId="14" fillId="12" borderId="37" xfId="0" applyNumberFormat="1" applyFont="1" applyFill="1" applyBorder="1" applyAlignment="1" applyProtection="1">
      <alignment horizontal="center" vertical="center" wrapText="1"/>
      <protection hidden="1"/>
    </xf>
    <xf numFmtId="10" fontId="13" fillId="6" borderId="37" xfId="0" applyNumberFormat="1" applyFont="1" applyFill="1" applyBorder="1" applyAlignment="1" applyProtection="1">
      <alignment horizontal="center" vertical="center" wrapText="1"/>
      <protection locked="0" hidden="1"/>
    </xf>
    <xf numFmtId="165" fontId="13" fillId="6" borderId="37" xfId="0" applyNumberFormat="1" applyFont="1" applyFill="1" applyBorder="1" applyAlignment="1" applyProtection="1">
      <alignment horizontal="center" vertical="center" wrapText="1"/>
      <protection hidden="1"/>
    </xf>
    <xf numFmtId="165" fontId="13" fillId="6" borderId="38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/>
      <protection hidden="1"/>
    </xf>
    <xf numFmtId="165" fontId="14" fillId="0" borderId="0" xfId="0" applyNumberFormat="1" applyFont="1" applyAlignment="1" applyProtection="1">
      <alignment horizontal="center" vertical="center" wrapText="1"/>
      <protection hidden="1"/>
    </xf>
    <xf numFmtId="0" fontId="11" fillId="3" borderId="42" xfId="0" applyFont="1" applyFill="1" applyBorder="1" applyAlignment="1" applyProtection="1">
      <alignment horizontal="center" vertical="center" wrapText="1"/>
      <protection hidden="1"/>
    </xf>
    <xf numFmtId="0" fontId="15" fillId="0" borderId="43" xfId="0" applyFont="1" applyBorder="1"/>
    <xf numFmtId="0" fontId="15" fillId="0" borderId="14" xfId="0" applyFont="1" applyBorder="1"/>
    <xf numFmtId="0" fontId="15" fillId="0" borderId="26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26" xfId="0" applyBorder="1"/>
    <xf numFmtId="0" fontId="0" fillId="0" borderId="47" xfId="0" applyBorder="1"/>
    <xf numFmtId="0" fontId="0" fillId="0" borderId="48" xfId="0" applyBorder="1"/>
    <xf numFmtId="44" fontId="0" fillId="0" borderId="26" xfId="1" applyFont="1" applyBorder="1"/>
    <xf numFmtId="44" fontId="0" fillId="0" borderId="47" xfId="1" applyFont="1" applyBorder="1"/>
    <xf numFmtId="44" fontId="0" fillId="0" borderId="48" xfId="1" applyFont="1" applyBorder="1"/>
    <xf numFmtId="14" fontId="0" fillId="0" borderId="26" xfId="0" applyNumberFormat="1" applyBorder="1"/>
    <xf numFmtId="14" fontId="0" fillId="0" borderId="47" xfId="0" applyNumberFormat="1" applyBorder="1"/>
    <xf numFmtId="14" fontId="0" fillId="0" borderId="48" xfId="0" applyNumberFormat="1" applyBorder="1"/>
    <xf numFmtId="2" fontId="0" fillId="0" borderId="26" xfId="0" applyNumberFormat="1" applyBorder="1"/>
    <xf numFmtId="2" fontId="0" fillId="0" borderId="47" xfId="0" applyNumberFormat="1" applyBorder="1"/>
    <xf numFmtId="2" fontId="0" fillId="0" borderId="48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10" fontId="0" fillId="0" borderId="26" xfId="2" applyNumberFormat="1" applyFont="1" applyBorder="1"/>
    <xf numFmtId="10" fontId="0" fillId="0" borderId="47" xfId="2" applyNumberFormat="1" applyFont="1" applyBorder="1"/>
    <xf numFmtId="10" fontId="0" fillId="0" borderId="48" xfId="2" applyNumberFormat="1" applyFont="1" applyBorder="1"/>
    <xf numFmtId="0" fontId="0" fillId="7" borderId="48" xfId="0" applyFill="1" applyBorder="1"/>
    <xf numFmtId="44" fontId="0" fillId="7" borderId="48" xfId="0" applyNumberFormat="1" applyFill="1" applyBorder="1"/>
    <xf numFmtId="164" fontId="0" fillId="0" borderId="26" xfId="0" applyNumberFormat="1" applyBorder="1"/>
    <xf numFmtId="164" fontId="0" fillId="0" borderId="47" xfId="0" applyNumberFormat="1" applyBorder="1"/>
    <xf numFmtId="164" fontId="0" fillId="0" borderId="48" xfId="0" applyNumberFormat="1" applyBorder="1"/>
    <xf numFmtId="2" fontId="0" fillId="8" borderId="48" xfId="0" applyNumberFormat="1" applyFill="1" applyBorder="1"/>
    <xf numFmtId="0" fontId="0" fillId="9" borderId="48" xfId="0" applyFill="1" applyBorder="1"/>
    <xf numFmtId="0" fontId="7" fillId="0" borderId="34" xfId="0" applyFont="1" applyBorder="1" applyAlignment="1" applyProtection="1">
      <alignment horizontal="center"/>
      <protection locked="0"/>
    </xf>
    <xf numFmtId="0" fontId="4" fillId="11" borderId="26" xfId="0" applyFont="1" applyFill="1" applyBorder="1"/>
    <xf numFmtId="0" fontId="7" fillId="10" borderId="49" xfId="0" applyFont="1" applyFill="1" applyBorder="1" applyAlignment="1" applyProtection="1">
      <alignment horizontal="center"/>
      <protection locked="0"/>
    </xf>
    <xf numFmtId="0" fontId="7" fillId="10" borderId="50" xfId="0" applyFont="1" applyFill="1" applyBorder="1" applyAlignment="1" applyProtection="1">
      <alignment horizontal="center"/>
      <protection locked="0"/>
    </xf>
    <xf numFmtId="0" fontId="7" fillId="2" borderId="50" xfId="0" applyFont="1" applyFill="1" applyBorder="1" applyAlignment="1" applyProtection="1">
      <alignment horizontal="center"/>
      <protection locked="0"/>
    </xf>
    <xf numFmtId="0" fontId="7" fillId="2" borderId="51" xfId="0" applyFont="1" applyFill="1" applyBorder="1" applyAlignment="1" applyProtection="1">
      <alignment horizontal="center"/>
      <protection locked="0"/>
    </xf>
    <xf numFmtId="15" fontId="7" fillId="0" borderId="34" xfId="0" applyNumberFormat="1" applyFont="1" applyBorder="1" applyAlignment="1" applyProtection="1">
      <alignment horizontal="center"/>
      <protection locked="0"/>
    </xf>
    <xf numFmtId="15" fontId="7" fillId="10" borderId="49" xfId="0" applyNumberFormat="1" applyFont="1" applyFill="1" applyBorder="1" applyAlignment="1" applyProtection="1">
      <alignment horizontal="center"/>
      <protection locked="0"/>
    </xf>
    <xf numFmtId="15" fontId="7" fillId="10" borderId="50" xfId="0" applyNumberFormat="1" applyFont="1" applyFill="1" applyBorder="1" applyAlignment="1" applyProtection="1">
      <alignment horizontal="center"/>
      <protection locked="0"/>
    </xf>
    <xf numFmtId="15" fontId="7" fillId="2" borderId="50" xfId="0" applyNumberFormat="1" applyFont="1" applyFill="1" applyBorder="1" applyAlignment="1" applyProtection="1">
      <alignment horizontal="center"/>
      <protection locked="0"/>
    </xf>
    <xf numFmtId="15" fontId="7" fillId="2" borderId="51" xfId="0" applyNumberFormat="1" applyFont="1" applyFill="1" applyBorder="1" applyAlignment="1" applyProtection="1">
      <alignment horizontal="center"/>
      <protection locked="0"/>
    </xf>
    <xf numFmtId="10" fontId="0" fillId="0" borderId="47" xfId="2" applyNumberFormat="1" applyFont="1" applyFill="1" applyBorder="1"/>
    <xf numFmtId="167" fontId="0" fillId="8" borderId="14" xfId="0" applyNumberFormat="1" applyFill="1" applyBorder="1"/>
    <xf numFmtId="10" fontId="0" fillId="7" borderId="14" xfId="2" applyNumberFormat="1" applyFont="1" applyFill="1" applyBorder="1"/>
    <xf numFmtId="44" fontId="0" fillId="0" borderId="26" xfId="0" applyNumberFormat="1" applyBorder="1"/>
    <xf numFmtId="44" fontId="0" fillId="7" borderId="14" xfId="0" applyNumberFormat="1" applyFill="1" applyBorder="1"/>
    <xf numFmtId="15" fontId="7" fillId="0" borderId="52" xfId="0" applyNumberFormat="1" applyFont="1" applyBorder="1" applyAlignment="1" applyProtection="1">
      <alignment horizontal="center"/>
      <protection locked="0"/>
    </xf>
    <xf numFmtId="0" fontId="17" fillId="13" borderId="14" xfId="0" applyFont="1" applyFill="1" applyBorder="1"/>
    <xf numFmtId="44" fontId="18" fillId="13" borderId="14" xfId="0" applyNumberFormat="1" applyFont="1" applyFill="1" applyBorder="1"/>
    <xf numFmtId="0" fontId="4" fillId="11" borderId="14" xfId="0" applyFont="1" applyFill="1" applyBorder="1"/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44" fontId="0" fillId="5" borderId="26" xfId="1" applyFont="1" applyFill="1" applyBorder="1"/>
    <xf numFmtId="44" fontId="0" fillId="5" borderId="47" xfId="1" applyFont="1" applyFill="1" applyBorder="1"/>
    <xf numFmtId="10" fontId="0" fillId="5" borderId="47" xfId="0" applyNumberFormat="1" applyFill="1" applyBorder="1" applyAlignment="1">
      <alignment horizontal="center"/>
    </xf>
    <xf numFmtId="10" fontId="0" fillId="5" borderId="48" xfId="0" applyNumberFormat="1" applyFill="1" applyBorder="1" applyAlignment="1">
      <alignment horizontal="center"/>
    </xf>
    <xf numFmtId="44" fontId="0" fillId="5" borderId="48" xfId="1" applyFont="1" applyFill="1" applyBorder="1"/>
    <xf numFmtId="44" fontId="0" fillId="5" borderId="0" xfId="1" applyFont="1" applyFill="1" applyBorder="1"/>
    <xf numFmtId="0" fontId="0" fillId="5" borderId="0" xfId="0" applyFill="1"/>
    <xf numFmtId="10" fontId="0" fillId="5" borderId="0" xfId="0" applyNumberFormat="1" applyFill="1"/>
    <xf numFmtId="0" fontId="16" fillId="15" borderId="0" xfId="0" applyFont="1" applyFill="1"/>
    <xf numFmtId="44" fontId="1" fillId="5" borderId="47" xfId="1" applyFont="1" applyFill="1" applyBorder="1"/>
    <xf numFmtId="44" fontId="0" fillId="0" borderId="14" xfId="0" applyNumberFormat="1" applyBorder="1"/>
    <xf numFmtId="0" fontId="11" fillId="3" borderId="1" xfId="0" applyFont="1" applyFill="1" applyBorder="1" applyAlignment="1" applyProtection="1">
      <alignment horizontal="left"/>
      <protection hidden="1"/>
    </xf>
    <xf numFmtId="0" fontId="11" fillId="3" borderId="27" xfId="0" applyFont="1" applyFill="1" applyBorder="1" applyAlignment="1" applyProtection="1">
      <alignment horizontal="left"/>
      <protection hidden="1"/>
    </xf>
    <xf numFmtId="0" fontId="11" fillId="3" borderId="28" xfId="0" applyFont="1" applyFill="1" applyBorder="1" applyAlignment="1" applyProtection="1">
      <alignment horizontal="left"/>
      <protection hidden="1"/>
    </xf>
    <xf numFmtId="0" fontId="10" fillId="3" borderId="29" xfId="0" applyFont="1" applyFill="1" applyBorder="1" applyAlignment="1" applyProtection="1">
      <alignment horizontal="center" vertical="top"/>
      <protection hidden="1"/>
    </xf>
    <xf numFmtId="0" fontId="10" fillId="3" borderId="0" xfId="0" applyFont="1" applyFill="1" applyAlignment="1" applyProtection="1">
      <alignment horizontal="center" vertical="top"/>
      <protection hidden="1"/>
    </xf>
    <xf numFmtId="0" fontId="10" fillId="3" borderId="30" xfId="0" applyFont="1" applyFill="1" applyBorder="1" applyAlignment="1" applyProtection="1">
      <alignment horizontal="center" vertical="top"/>
      <protection hidden="1"/>
    </xf>
    <xf numFmtId="0" fontId="19" fillId="7" borderId="14" xfId="0" applyFont="1" applyFill="1" applyBorder="1" applyAlignment="1">
      <alignment horizontal="center"/>
    </xf>
    <xf numFmtId="0" fontId="20" fillId="14" borderId="14" xfId="0" applyFont="1" applyFill="1" applyBorder="1" applyAlignment="1">
      <alignment horizontal="center" vertical="center" textRotation="90"/>
    </xf>
    <xf numFmtId="0" fontId="0" fillId="14" borderId="14" xfId="0" applyFill="1" applyBorder="1" applyAlignment="1">
      <alignment horizontal="center" vertical="center" textRotation="90"/>
    </xf>
    <xf numFmtId="0" fontId="16" fillId="15" borderId="14" xfId="0" applyFont="1" applyFill="1" applyBorder="1" applyAlignment="1">
      <alignment horizontal="center" textRotation="90"/>
    </xf>
    <xf numFmtId="0" fontId="0" fillId="15" borderId="14" xfId="0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D5FF"/>
      <color rgb="FFFF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shift vs surplus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Sheet1!$D$61:$D$301</c:f>
              <c:numCache>
                <c:formatCode>0.00%</c:formatCode>
                <c:ptCount val="241"/>
                <c:pt idx="0">
                  <c:v>-7.4999999999999997E-2</c:v>
                </c:pt>
                <c:pt idx="1">
                  <c:v>-7.2499999999999995E-2</c:v>
                </c:pt>
                <c:pt idx="2">
                  <c:v>-7.0000000000000007E-2</c:v>
                </c:pt>
                <c:pt idx="3">
                  <c:v>-6.7500000000000004E-2</c:v>
                </c:pt>
                <c:pt idx="4">
                  <c:v>-6.5000000000000002E-2</c:v>
                </c:pt>
                <c:pt idx="5">
                  <c:v>-6.25E-2</c:v>
                </c:pt>
                <c:pt idx="6">
                  <c:v>-0.06</c:v>
                </c:pt>
                <c:pt idx="7">
                  <c:v>-5.7500000000000002E-2</c:v>
                </c:pt>
                <c:pt idx="8">
                  <c:v>-5.5E-2</c:v>
                </c:pt>
                <c:pt idx="9">
                  <c:v>-5.2499999999999998E-2</c:v>
                </c:pt>
                <c:pt idx="10">
                  <c:v>-0.05</c:v>
                </c:pt>
                <c:pt idx="11">
                  <c:v>-4.7500000000000001E-2</c:v>
                </c:pt>
                <c:pt idx="12">
                  <c:v>-4.4999999999999998E-2</c:v>
                </c:pt>
                <c:pt idx="13">
                  <c:v>-4.2500000000000003E-2</c:v>
                </c:pt>
                <c:pt idx="14">
                  <c:v>-0.04</c:v>
                </c:pt>
                <c:pt idx="15">
                  <c:v>-3.7499999999999999E-2</c:v>
                </c:pt>
                <c:pt idx="16">
                  <c:v>-3.5000000000000003E-2</c:v>
                </c:pt>
                <c:pt idx="17">
                  <c:v>-3.2500000000000001E-2</c:v>
                </c:pt>
                <c:pt idx="18">
                  <c:v>-0.03</c:v>
                </c:pt>
                <c:pt idx="19">
                  <c:v>-2.75E-2</c:v>
                </c:pt>
                <c:pt idx="20">
                  <c:v>-2.5000000000000001E-2</c:v>
                </c:pt>
                <c:pt idx="21">
                  <c:v>-2.2499999999999999E-2</c:v>
                </c:pt>
                <c:pt idx="22">
                  <c:v>-0.02</c:v>
                </c:pt>
                <c:pt idx="23">
                  <c:v>-1.7499999999999901E-2</c:v>
                </c:pt>
                <c:pt idx="24">
                  <c:v>-1.4999999999999901E-2</c:v>
                </c:pt>
                <c:pt idx="25">
                  <c:v>-1.24999999999999E-2</c:v>
                </c:pt>
                <c:pt idx="26">
                  <c:v>-9.9999999999998996E-3</c:v>
                </c:pt>
                <c:pt idx="27">
                  <c:v>-7.4999999999999E-3</c:v>
                </c:pt>
                <c:pt idx="28">
                  <c:v>-4.9999999999998899E-3</c:v>
                </c:pt>
                <c:pt idx="29">
                  <c:v>-2.4999999999998899E-3</c:v>
                </c:pt>
                <c:pt idx="30">
                  <c:v>9.7144514654701197E-17</c:v>
                </c:pt>
                <c:pt idx="31">
                  <c:v>2.5000000000000998E-3</c:v>
                </c:pt>
                <c:pt idx="32">
                  <c:v>5.0000000000000999E-3</c:v>
                </c:pt>
                <c:pt idx="33">
                  <c:v>7.5000000000001003E-3</c:v>
                </c:pt>
                <c:pt idx="34">
                  <c:v>1.0000000000000101E-2</c:v>
                </c:pt>
                <c:pt idx="35">
                  <c:v>1.25000000000001E-2</c:v>
                </c:pt>
                <c:pt idx="36">
                  <c:v>1.50000000000001E-2</c:v>
                </c:pt>
                <c:pt idx="37">
                  <c:v>1.7500000000000099E-2</c:v>
                </c:pt>
                <c:pt idx="38">
                  <c:v>2.0000000000000101E-2</c:v>
                </c:pt>
                <c:pt idx="39">
                  <c:v>2.25000000000001E-2</c:v>
                </c:pt>
                <c:pt idx="40">
                  <c:v>2.5000000000000001E-2</c:v>
                </c:pt>
                <c:pt idx="41">
                  <c:v>2.75E-2</c:v>
                </c:pt>
                <c:pt idx="42">
                  <c:v>0.03</c:v>
                </c:pt>
                <c:pt idx="43">
                  <c:v>3.2500000000000001E-2</c:v>
                </c:pt>
                <c:pt idx="44">
                  <c:v>3.5000000000000003E-2</c:v>
                </c:pt>
                <c:pt idx="45">
                  <c:v>3.7499999999999999E-2</c:v>
                </c:pt>
                <c:pt idx="46">
                  <c:v>0.04</c:v>
                </c:pt>
                <c:pt idx="47">
                  <c:v>4.2500000000000003E-2</c:v>
                </c:pt>
                <c:pt idx="48">
                  <c:v>4.4999999999999998E-2</c:v>
                </c:pt>
                <c:pt idx="49">
                  <c:v>4.7500000000000001E-2</c:v>
                </c:pt>
                <c:pt idx="50">
                  <c:v>0.05</c:v>
                </c:pt>
                <c:pt idx="51">
                  <c:v>5.2499999999999998E-2</c:v>
                </c:pt>
                <c:pt idx="52">
                  <c:v>5.5E-2</c:v>
                </c:pt>
                <c:pt idx="53">
                  <c:v>5.7500000000000002E-2</c:v>
                </c:pt>
                <c:pt idx="54">
                  <c:v>0.06</c:v>
                </c:pt>
                <c:pt idx="55">
                  <c:v>6.25E-2</c:v>
                </c:pt>
                <c:pt idx="56">
                  <c:v>6.5000000000000002E-2</c:v>
                </c:pt>
                <c:pt idx="57">
                  <c:v>6.7500000000000004E-2</c:v>
                </c:pt>
                <c:pt idx="58">
                  <c:v>7.0000000000000007E-2</c:v>
                </c:pt>
                <c:pt idx="59">
                  <c:v>7.2499999999999995E-2</c:v>
                </c:pt>
                <c:pt idx="60">
                  <c:v>7.4999999999999997E-2</c:v>
                </c:pt>
                <c:pt idx="61">
                  <c:v>7.7499999999999999E-2</c:v>
                </c:pt>
                <c:pt idx="62">
                  <c:v>0.08</c:v>
                </c:pt>
                <c:pt idx="63">
                  <c:v>8.2500000000000004E-2</c:v>
                </c:pt>
                <c:pt idx="64">
                  <c:v>8.5000000000000006E-2</c:v>
                </c:pt>
                <c:pt idx="65">
                  <c:v>8.7499999999999994E-2</c:v>
                </c:pt>
                <c:pt idx="66">
                  <c:v>0.09</c:v>
                </c:pt>
                <c:pt idx="67">
                  <c:v>9.2499999999999999E-2</c:v>
                </c:pt>
                <c:pt idx="68">
                  <c:v>9.5000000000000001E-2</c:v>
                </c:pt>
                <c:pt idx="69">
                  <c:v>9.7500000000000003E-2</c:v>
                </c:pt>
                <c:pt idx="70">
                  <c:v>0.1</c:v>
                </c:pt>
                <c:pt idx="71">
                  <c:v>0.10249999999999999</c:v>
                </c:pt>
                <c:pt idx="72">
                  <c:v>0.105</c:v>
                </c:pt>
                <c:pt idx="73">
                  <c:v>0.1075</c:v>
                </c:pt>
                <c:pt idx="74">
                  <c:v>0.11</c:v>
                </c:pt>
                <c:pt idx="75">
                  <c:v>0.1125</c:v>
                </c:pt>
                <c:pt idx="76">
                  <c:v>0.115</c:v>
                </c:pt>
                <c:pt idx="77">
                  <c:v>0.11749999999999999</c:v>
                </c:pt>
                <c:pt idx="78">
                  <c:v>0.12</c:v>
                </c:pt>
                <c:pt idx="79">
                  <c:v>0.1225</c:v>
                </c:pt>
                <c:pt idx="80">
                  <c:v>0.125</c:v>
                </c:pt>
                <c:pt idx="81">
                  <c:v>0.1275</c:v>
                </c:pt>
                <c:pt idx="82">
                  <c:v>0.13</c:v>
                </c:pt>
                <c:pt idx="83">
                  <c:v>0.13250000000000001</c:v>
                </c:pt>
                <c:pt idx="84">
                  <c:v>0.13500000000000001</c:v>
                </c:pt>
                <c:pt idx="85">
                  <c:v>0.13750000000000001</c:v>
                </c:pt>
                <c:pt idx="86">
                  <c:v>0.14000000000000001</c:v>
                </c:pt>
                <c:pt idx="87">
                  <c:v>0.14249999999999999</c:v>
                </c:pt>
                <c:pt idx="88">
                  <c:v>0.14499999999999999</c:v>
                </c:pt>
                <c:pt idx="89">
                  <c:v>0.14749999999999999</c:v>
                </c:pt>
                <c:pt idx="90">
                  <c:v>0.15</c:v>
                </c:pt>
                <c:pt idx="91">
                  <c:v>0.1525</c:v>
                </c:pt>
                <c:pt idx="92">
                  <c:v>0.155</c:v>
                </c:pt>
                <c:pt idx="93">
                  <c:v>0.1575</c:v>
                </c:pt>
                <c:pt idx="94">
                  <c:v>0.16</c:v>
                </c:pt>
                <c:pt idx="95">
                  <c:v>0.16250000000000001</c:v>
                </c:pt>
                <c:pt idx="96">
                  <c:v>0.16500000000000001</c:v>
                </c:pt>
                <c:pt idx="97">
                  <c:v>0.16750000000000001</c:v>
                </c:pt>
                <c:pt idx="98">
                  <c:v>0.17</c:v>
                </c:pt>
                <c:pt idx="99">
                  <c:v>0.17249999999999999</c:v>
                </c:pt>
                <c:pt idx="100">
                  <c:v>0.17499999999999999</c:v>
                </c:pt>
                <c:pt idx="101">
                  <c:v>0.17749999999999999</c:v>
                </c:pt>
                <c:pt idx="102">
                  <c:v>0.18</c:v>
                </c:pt>
                <c:pt idx="103">
                  <c:v>0.1825</c:v>
                </c:pt>
                <c:pt idx="104">
                  <c:v>0.185</c:v>
                </c:pt>
                <c:pt idx="105">
                  <c:v>0.1875</c:v>
                </c:pt>
                <c:pt idx="106">
                  <c:v>0.19</c:v>
                </c:pt>
                <c:pt idx="107">
                  <c:v>0.1925</c:v>
                </c:pt>
                <c:pt idx="108">
                  <c:v>0.19500000000000001</c:v>
                </c:pt>
                <c:pt idx="109">
                  <c:v>0.19750000000000001</c:v>
                </c:pt>
                <c:pt idx="110">
                  <c:v>0.2</c:v>
                </c:pt>
                <c:pt idx="111">
                  <c:v>0.20250000000000001</c:v>
                </c:pt>
                <c:pt idx="112">
                  <c:v>0.20499999999999999</c:v>
                </c:pt>
                <c:pt idx="113">
                  <c:v>0.20749999999999999</c:v>
                </c:pt>
                <c:pt idx="114">
                  <c:v>0.21</c:v>
                </c:pt>
                <c:pt idx="115">
                  <c:v>0.21249999999999999</c:v>
                </c:pt>
                <c:pt idx="116">
                  <c:v>0.215</c:v>
                </c:pt>
                <c:pt idx="117">
                  <c:v>0.2175</c:v>
                </c:pt>
                <c:pt idx="118">
                  <c:v>0.22</c:v>
                </c:pt>
                <c:pt idx="119">
                  <c:v>0.2225</c:v>
                </c:pt>
                <c:pt idx="120">
                  <c:v>0.22500000000000001</c:v>
                </c:pt>
                <c:pt idx="121">
                  <c:v>0.22750000000000001</c:v>
                </c:pt>
                <c:pt idx="122">
                  <c:v>0.23</c:v>
                </c:pt>
                <c:pt idx="123">
                  <c:v>0.23250000000000001</c:v>
                </c:pt>
                <c:pt idx="124">
                  <c:v>0.23499999999999999</c:v>
                </c:pt>
                <c:pt idx="125">
                  <c:v>0.23749999999999999</c:v>
                </c:pt>
                <c:pt idx="126">
                  <c:v>0.24</c:v>
                </c:pt>
                <c:pt idx="127">
                  <c:v>0.24249999999999999</c:v>
                </c:pt>
                <c:pt idx="128">
                  <c:v>0.245</c:v>
                </c:pt>
                <c:pt idx="129">
                  <c:v>0.2475</c:v>
                </c:pt>
                <c:pt idx="130">
                  <c:v>0.25</c:v>
                </c:pt>
                <c:pt idx="131">
                  <c:v>0.2525</c:v>
                </c:pt>
                <c:pt idx="132">
                  <c:v>0.255</c:v>
                </c:pt>
                <c:pt idx="133">
                  <c:v>0.25750000000000001</c:v>
                </c:pt>
                <c:pt idx="134">
                  <c:v>0.26</c:v>
                </c:pt>
                <c:pt idx="135">
                  <c:v>0.26250000000000001</c:v>
                </c:pt>
                <c:pt idx="136">
                  <c:v>0.26500000000000001</c:v>
                </c:pt>
                <c:pt idx="137">
                  <c:v>0.26750000000000002</c:v>
                </c:pt>
                <c:pt idx="138">
                  <c:v>0.27</c:v>
                </c:pt>
                <c:pt idx="139">
                  <c:v>0.27250000000000002</c:v>
                </c:pt>
                <c:pt idx="140">
                  <c:v>0.27500000000000002</c:v>
                </c:pt>
                <c:pt idx="141">
                  <c:v>0.27750000000000002</c:v>
                </c:pt>
                <c:pt idx="142">
                  <c:v>0.28000000000000003</c:v>
                </c:pt>
                <c:pt idx="143">
                  <c:v>0.28249999999999997</c:v>
                </c:pt>
                <c:pt idx="144">
                  <c:v>0.28499999999999998</c:v>
                </c:pt>
                <c:pt idx="145">
                  <c:v>0.28749999999999998</c:v>
                </c:pt>
                <c:pt idx="146">
                  <c:v>0.28999999999999998</c:v>
                </c:pt>
                <c:pt idx="147">
                  <c:v>0.29249999999999998</c:v>
                </c:pt>
                <c:pt idx="148">
                  <c:v>0.29499999999999998</c:v>
                </c:pt>
                <c:pt idx="149">
                  <c:v>0.29749999999999999</c:v>
                </c:pt>
                <c:pt idx="150">
                  <c:v>0.3</c:v>
                </c:pt>
                <c:pt idx="151">
                  <c:v>0.30249999999999999</c:v>
                </c:pt>
                <c:pt idx="152">
                  <c:v>0.30499999999999999</c:v>
                </c:pt>
                <c:pt idx="153">
                  <c:v>0.3075</c:v>
                </c:pt>
                <c:pt idx="154">
                  <c:v>0.31</c:v>
                </c:pt>
                <c:pt idx="155">
                  <c:v>0.3125</c:v>
                </c:pt>
                <c:pt idx="156">
                  <c:v>0.315</c:v>
                </c:pt>
                <c:pt idx="157">
                  <c:v>0.3175</c:v>
                </c:pt>
                <c:pt idx="158">
                  <c:v>0.32</c:v>
                </c:pt>
                <c:pt idx="159">
                  <c:v>0.32250000000000001</c:v>
                </c:pt>
                <c:pt idx="160">
                  <c:v>0.32500000000000001</c:v>
                </c:pt>
                <c:pt idx="161">
                  <c:v>0.32750000000000001</c:v>
                </c:pt>
                <c:pt idx="162">
                  <c:v>0.33</c:v>
                </c:pt>
                <c:pt idx="163">
                  <c:v>0.33250000000000002</c:v>
                </c:pt>
                <c:pt idx="164">
                  <c:v>0.33500000000000002</c:v>
                </c:pt>
                <c:pt idx="165">
                  <c:v>0.33750000000000002</c:v>
                </c:pt>
                <c:pt idx="166">
                  <c:v>0.34</c:v>
                </c:pt>
                <c:pt idx="167">
                  <c:v>0.34250000000000003</c:v>
                </c:pt>
                <c:pt idx="168">
                  <c:v>0.34499999999999997</c:v>
                </c:pt>
                <c:pt idx="169">
                  <c:v>0.34749999999999998</c:v>
                </c:pt>
                <c:pt idx="170">
                  <c:v>0.35</c:v>
                </c:pt>
                <c:pt idx="171">
                  <c:v>0.35249999999999998</c:v>
                </c:pt>
                <c:pt idx="172">
                  <c:v>0.35499999999999998</c:v>
                </c:pt>
                <c:pt idx="173">
                  <c:v>0.35749999999999998</c:v>
                </c:pt>
                <c:pt idx="174">
                  <c:v>0.36</c:v>
                </c:pt>
                <c:pt idx="175">
                  <c:v>0.36249999999999999</c:v>
                </c:pt>
                <c:pt idx="176">
                  <c:v>0.36499999999999999</c:v>
                </c:pt>
                <c:pt idx="177">
                  <c:v>0.36749999999999999</c:v>
                </c:pt>
                <c:pt idx="178">
                  <c:v>0.37</c:v>
                </c:pt>
                <c:pt idx="179">
                  <c:v>0.3725</c:v>
                </c:pt>
                <c:pt idx="180">
                  <c:v>0.375</c:v>
                </c:pt>
                <c:pt idx="181">
                  <c:v>0.3775</c:v>
                </c:pt>
                <c:pt idx="182">
                  <c:v>0.38</c:v>
                </c:pt>
                <c:pt idx="183">
                  <c:v>0.38250000000000001</c:v>
                </c:pt>
                <c:pt idx="184">
                  <c:v>0.38500000000000001</c:v>
                </c:pt>
                <c:pt idx="185">
                  <c:v>0.38750000000000001</c:v>
                </c:pt>
                <c:pt idx="186">
                  <c:v>0.39</c:v>
                </c:pt>
                <c:pt idx="187">
                  <c:v>0.39250000000000002</c:v>
                </c:pt>
                <c:pt idx="188">
                  <c:v>0.39500000000000002</c:v>
                </c:pt>
                <c:pt idx="189">
                  <c:v>0.39750000000000002</c:v>
                </c:pt>
                <c:pt idx="190">
                  <c:v>0.4</c:v>
                </c:pt>
                <c:pt idx="191">
                  <c:v>0.40250000000000002</c:v>
                </c:pt>
                <c:pt idx="192">
                  <c:v>0.40500000000000003</c:v>
                </c:pt>
                <c:pt idx="193">
                  <c:v>0.40749999999999997</c:v>
                </c:pt>
                <c:pt idx="194">
                  <c:v>0.41</c:v>
                </c:pt>
                <c:pt idx="195">
                  <c:v>0.41249999999999998</c:v>
                </c:pt>
                <c:pt idx="196">
                  <c:v>0.41499999999999998</c:v>
                </c:pt>
                <c:pt idx="197">
                  <c:v>0.41749999999999998</c:v>
                </c:pt>
                <c:pt idx="198">
                  <c:v>0.42</c:v>
                </c:pt>
                <c:pt idx="199">
                  <c:v>0.42249999999999999</c:v>
                </c:pt>
                <c:pt idx="200">
                  <c:v>0.42499999999999999</c:v>
                </c:pt>
                <c:pt idx="201">
                  <c:v>0.42749999999999999</c:v>
                </c:pt>
                <c:pt idx="202">
                  <c:v>0.43</c:v>
                </c:pt>
                <c:pt idx="203">
                  <c:v>0.43250000000000099</c:v>
                </c:pt>
                <c:pt idx="204">
                  <c:v>0.435</c:v>
                </c:pt>
                <c:pt idx="205">
                  <c:v>0.4375</c:v>
                </c:pt>
                <c:pt idx="206">
                  <c:v>0.44</c:v>
                </c:pt>
                <c:pt idx="207">
                  <c:v>0.442500000000001</c:v>
                </c:pt>
                <c:pt idx="208">
                  <c:v>0.44500000000000001</c:v>
                </c:pt>
                <c:pt idx="209">
                  <c:v>0.44750000000000001</c:v>
                </c:pt>
                <c:pt idx="210">
                  <c:v>0.45</c:v>
                </c:pt>
                <c:pt idx="211">
                  <c:v>0.45250000000000101</c:v>
                </c:pt>
                <c:pt idx="212">
                  <c:v>0.45500000000000002</c:v>
                </c:pt>
                <c:pt idx="213">
                  <c:v>0.45750000000000002</c:v>
                </c:pt>
                <c:pt idx="214">
                  <c:v>0.46</c:v>
                </c:pt>
                <c:pt idx="215">
                  <c:v>0.46250000000000102</c:v>
                </c:pt>
                <c:pt idx="216">
                  <c:v>0.46500000000000002</c:v>
                </c:pt>
                <c:pt idx="217">
                  <c:v>0.46750000000000003</c:v>
                </c:pt>
                <c:pt idx="218">
                  <c:v>0.47</c:v>
                </c:pt>
                <c:pt idx="219">
                  <c:v>0.47250000000000097</c:v>
                </c:pt>
                <c:pt idx="220">
                  <c:v>0.47499999999999998</c:v>
                </c:pt>
                <c:pt idx="221">
                  <c:v>0.47749999999999998</c:v>
                </c:pt>
                <c:pt idx="222">
                  <c:v>0.48</c:v>
                </c:pt>
                <c:pt idx="223">
                  <c:v>0.48250000000000098</c:v>
                </c:pt>
                <c:pt idx="224">
                  <c:v>0.48499999999999999</c:v>
                </c:pt>
                <c:pt idx="225">
                  <c:v>0.48749999999999999</c:v>
                </c:pt>
                <c:pt idx="226">
                  <c:v>0.49000000000000099</c:v>
                </c:pt>
                <c:pt idx="227">
                  <c:v>0.49250000000000099</c:v>
                </c:pt>
                <c:pt idx="228">
                  <c:v>0.49500000000000099</c:v>
                </c:pt>
                <c:pt idx="229">
                  <c:v>0.4975</c:v>
                </c:pt>
                <c:pt idx="230">
                  <c:v>0.500000000000001</c:v>
                </c:pt>
                <c:pt idx="231">
                  <c:v>0.50250000000000095</c:v>
                </c:pt>
                <c:pt idx="232">
                  <c:v>0.505000000000001</c:v>
                </c:pt>
                <c:pt idx="233">
                  <c:v>0.50749999999999995</c:v>
                </c:pt>
                <c:pt idx="234">
                  <c:v>0.51000000000000101</c:v>
                </c:pt>
                <c:pt idx="235">
                  <c:v>0.51250000000000095</c:v>
                </c:pt>
                <c:pt idx="236">
                  <c:v>0.51500000000000101</c:v>
                </c:pt>
                <c:pt idx="237">
                  <c:v>0.51749999999999996</c:v>
                </c:pt>
                <c:pt idx="238">
                  <c:v>0.52000000000000102</c:v>
                </c:pt>
                <c:pt idx="239">
                  <c:v>0.52250000000000096</c:v>
                </c:pt>
                <c:pt idx="240">
                  <c:v>0.52500000000000102</c:v>
                </c:pt>
              </c:numCache>
            </c:numRef>
          </c:xVal>
          <c:yVal>
            <c:numRef>
              <c:f>Sheet1!$F$61:$F$301</c:f>
              <c:numCache>
                <c:formatCode>_("$"* #,##0.00_);_("$"* \(#,##0.00\);_("$"* "-"??_);_(@_)</c:formatCode>
                <c:ptCount val="241"/>
                <c:pt idx="0">
                  <c:v>4319093.7809183598</c:v>
                </c:pt>
                <c:pt idx="1">
                  <c:v>4076559.8389845192</c:v>
                </c:pt>
                <c:pt idx="2">
                  <c:v>3847670.5165944099</c:v>
                </c:pt>
                <c:pt idx="3">
                  <c:v>3631665.2268509269</c:v>
                </c:pt>
                <c:pt idx="4">
                  <c:v>3427824.8051163107</c:v>
                </c:pt>
                <c:pt idx="5">
                  <c:v>3235469.3026596755</c:v>
                </c:pt>
                <c:pt idx="6">
                  <c:v>3053955.8967418522</c:v>
                </c:pt>
                <c:pt idx="7">
                  <c:v>2882676.9109813869</c:v>
                </c:pt>
                <c:pt idx="8">
                  <c:v>2721057.940170452</c:v>
                </c:pt>
                <c:pt idx="9">
                  <c:v>2568556.0740263015</c:v>
                </c:pt>
                <c:pt idx="10">
                  <c:v>2424658.2146518677</c:v>
                </c:pt>
                <c:pt idx="11">
                  <c:v>2288879.4827626497</c:v>
                </c:pt>
                <c:pt idx="12">
                  <c:v>2160761.7079957873</c:v>
                </c:pt>
                <c:pt idx="13">
                  <c:v>2039871.9988697618</c:v>
                </c:pt>
                <c:pt idx="14">
                  <c:v>1925801.3881962746</c:v>
                </c:pt>
                <c:pt idx="15">
                  <c:v>1818163.549970597</c:v>
                </c:pt>
                <c:pt idx="16">
                  <c:v>1716593.583975926</c:v>
                </c:pt>
                <c:pt idx="17">
                  <c:v>1620746.8645379096</c:v>
                </c:pt>
                <c:pt idx="18">
                  <c:v>1530297.9500545859</c:v>
                </c:pt>
                <c:pt idx="19">
                  <c:v>1444939.5501043946</c:v>
                </c:pt>
                <c:pt idx="20">
                  <c:v>1364381.5471051931</c:v>
                </c:pt>
                <c:pt idx="21">
                  <c:v>1288350.0696575642</c:v>
                </c:pt>
                <c:pt idx="22">
                  <c:v>1216586.6148553044</c:v>
                </c:pt>
                <c:pt idx="23">
                  <c:v>1148847.21699211</c:v>
                </c:pt>
                <c:pt idx="24">
                  <c:v>1084901.6602265239</c:v>
                </c:pt>
                <c:pt idx="25">
                  <c:v>1024532.7328983247</c:v>
                </c:pt>
                <c:pt idx="26">
                  <c:v>967535.5213086009</c:v>
                </c:pt>
                <c:pt idx="27">
                  <c:v>913716.74089327455</c:v>
                </c:pt>
                <c:pt idx="28">
                  <c:v>862894.10282701254</c:v>
                </c:pt>
                <c:pt idx="29">
                  <c:v>814895.71419914067</c:v>
                </c:pt>
                <c:pt idx="30">
                  <c:v>769559.50999995321</c:v>
                </c:pt>
                <c:pt idx="31">
                  <c:v>726732.71524861455</c:v>
                </c:pt>
                <c:pt idx="32">
                  <c:v>686271.3356821537</c:v>
                </c:pt>
                <c:pt idx="33">
                  <c:v>648039.67550691217</c:v>
                </c:pt>
                <c:pt idx="34">
                  <c:v>611909.88079359382</c:v>
                </c:pt>
                <c:pt idx="35">
                  <c:v>577761.50717036426</c:v>
                </c:pt>
                <c:pt idx="36">
                  <c:v>545481.11054038256</c:v>
                </c:pt>
                <c:pt idx="37">
                  <c:v>514961.8596149683</c:v>
                </c:pt>
                <c:pt idx="38">
                  <c:v>486103.1691192165</c:v>
                </c:pt>
                <c:pt idx="39">
                  <c:v>458810.35258468986</c:v>
                </c:pt>
                <c:pt idx="40">
                  <c:v>432994.29370188713</c:v>
                </c:pt>
                <c:pt idx="41">
                  <c:v>408571.1352584362</c:v>
                </c:pt>
                <c:pt idx="42">
                  <c:v>385461.98474006355</c:v>
                </c:pt>
                <c:pt idx="43">
                  <c:v>363592.63571938127</c:v>
                </c:pt>
                <c:pt idx="44">
                  <c:v>342893.30420381576</c:v>
                </c:pt>
                <c:pt idx="45">
                  <c:v>323298.3791565299</c:v>
                </c:pt>
                <c:pt idx="46">
                  <c:v>304746.18644614518</c:v>
                </c:pt>
                <c:pt idx="47">
                  <c:v>287178.76551889628</c:v>
                </c:pt>
                <c:pt idx="48">
                  <c:v>270541.6581248492</c:v>
                </c:pt>
                <c:pt idx="49">
                  <c:v>254783.70846383274</c:v>
                </c:pt>
                <c:pt idx="50">
                  <c:v>239856.87415015697</c:v>
                </c:pt>
                <c:pt idx="51">
                  <c:v>225716.04742655158</c:v>
                </c:pt>
                <c:pt idx="52">
                  <c:v>212318.88608770072</c:v>
                </c:pt>
                <c:pt idx="53">
                  <c:v>199625.65360107273</c:v>
                </c:pt>
                <c:pt idx="54">
                  <c:v>187599.06794086099</c:v>
                </c:pt>
                <c:pt idx="55">
                  <c:v>176204.15867435932</c:v>
                </c:pt>
                <c:pt idx="56">
                  <c:v>165408.13186580688</c:v>
                </c:pt>
                <c:pt idx="57">
                  <c:v>155180.24238421768</c:v>
                </c:pt>
                <c:pt idx="58">
                  <c:v>145491.6732237637</c:v>
                </c:pt>
                <c:pt idx="59">
                  <c:v>136315.42146567255</c:v>
                </c:pt>
                <c:pt idx="60">
                  <c:v>127626.19053002447</c:v>
                </c:pt>
                <c:pt idx="61">
                  <c:v>119400.2883836329</c:v>
                </c:pt>
                <c:pt idx="62">
                  <c:v>111615.53138846159</c:v>
                </c:pt>
                <c:pt idx="63">
                  <c:v>104251.15349084139</c:v>
                </c:pt>
                <c:pt idx="64">
                  <c:v>97287.720467291772</c:v>
                </c:pt>
                <c:pt idx="65">
                  <c:v>90707.048958569765</c:v>
                </c:pt>
                <c:pt idx="66">
                  <c:v>84492.130035892129</c:v>
                </c:pt>
                <c:pt idx="67">
                  <c:v>78627.057058617473</c:v>
                </c:pt>
                <c:pt idx="68">
                  <c:v>73096.957593344152</c:v>
                </c:pt>
                <c:pt idx="69">
                  <c:v>67887.929177835584</c:v>
                </c:pt>
                <c:pt idx="70">
                  <c:v>62986.97872377187</c:v>
                </c:pt>
                <c:pt idx="71">
                  <c:v>58381.965363144875</c:v>
                </c:pt>
                <c:pt idx="72">
                  <c:v>54061.546553619206</c:v>
                </c:pt>
                <c:pt idx="73">
                  <c:v>50015.127267338336</c:v>
                </c:pt>
                <c:pt idx="74">
                  <c:v>46232.812097601593</c:v>
                </c:pt>
                <c:pt idx="75">
                  <c:v>42705.360125519335</c:v>
                </c:pt>
                <c:pt idx="76">
                  <c:v>39424.142397806048</c:v>
                </c:pt>
                <c:pt idx="77">
                  <c:v>36381.101874552667</c:v>
                </c:pt>
                <c:pt idx="78">
                  <c:v>33568.715712592006</c:v>
                </c:pt>
                <c:pt idx="79">
                  <c:v>30979.959758162498</c:v>
                </c:pt>
                <c:pt idx="80">
                  <c:v>28608.275128126144</c:v>
                </c:pt>
                <c:pt idx="81">
                  <c:v>26447.536766119301</c:v>
                </c:pt>
                <c:pt idx="82">
                  <c:v>24492.023865744472</c:v>
                </c:pt>
                <c:pt idx="83">
                  <c:v>22736.392058320343</c:v>
                </c:pt>
                <c:pt idx="84">
                  <c:v>21175.647268511355</c:v>
                </c:pt>
                <c:pt idx="85">
                  <c:v>19805.12114597857</c:v>
                </c:pt>
                <c:pt idx="86">
                  <c:v>18620.447986297309</c:v>
                </c:pt>
                <c:pt idx="87">
                  <c:v>17617.543058469892</c:v>
                </c:pt>
                <c:pt idx="88">
                  <c:v>16792.582261495292</c:v>
                </c:pt>
                <c:pt idx="89">
                  <c:v>16141.983035512269</c:v>
                </c:pt>
                <c:pt idx="90">
                  <c:v>15662.386458352208</c:v>
                </c:pt>
                <c:pt idx="91">
                  <c:v>15350.640460513532</c:v>
                </c:pt>
                <c:pt idx="92">
                  <c:v>15203.7840962708</c:v>
                </c:pt>
                <c:pt idx="93">
                  <c:v>15219.032811336219</c:v>
                </c:pt>
                <c:pt idx="94">
                  <c:v>15393.764650933444</c:v>
                </c:pt>
                <c:pt idx="95">
                  <c:v>15725.507354937494</c:v>
                </c:pt>
                <c:pt idx="96">
                  <c:v>16211.926289711148</c:v>
                </c:pt>
                <c:pt idx="97">
                  <c:v>16850.813169024885</c:v>
                </c:pt>
                <c:pt idx="98">
                  <c:v>17640.075518671423</c:v>
                </c:pt>
                <c:pt idx="99">
                  <c:v>18577.726842336357</c:v>
                </c:pt>
                <c:pt idx="100">
                  <c:v>19661.87744788453</c:v>
                </c:pt>
                <c:pt idx="101">
                  <c:v>20890.725896328688</c:v>
                </c:pt>
                <c:pt idx="102">
                  <c:v>22262.551036577672</c:v>
                </c:pt>
                <c:pt idx="103">
                  <c:v>23775.704592481256</c:v>
                </c:pt>
                <c:pt idx="104">
                  <c:v>25428.604269012809</c:v>
                </c:pt>
                <c:pt idx="105">
                  <c:v>27219.727347519249</c:v>
                </c:pt>
                <c:pt idx="106">
                  <c:v>29147.604740779847</c:v>
                </c:pt>
                <c:pt idx="107">
                  <c:v>31210.815480392426</c:v>
                </c:pt>
                <c:pt idx="108">
                  <c:v>33407.981610853225</c:v>
                </c:pt>
                <c:pt idx="109">
                  <c:v>35737.763465519994</c:v>
                </c:pt>
                <c:pt idx="110">
                  <c:v>38198.855301499367</c:v>
                </c:pt>
                <c:pt idx="111">
                  <c:v>40789.981271520257</c:v>
                </c:pt>
                <c:pt idx="112">
                  <c:v>43509.891712069511</c:v>
                </c:pt>
                <c:pt idx="113">
                  <c:v>46357.359728332609</c:v>
                </c:pt>
                <c:pt idx="114">
                  <c:v>49331.178057305515</c:v>
                </c:pt>
                <c:pt idx="115">
                  <c:v>52430.156191907823</c:v>
                </c:pt>
                <c:pt idx="116">
                  <c:v>55653.117749415338</c:v>
                </c:pt>
                <c:pt idx="117">
                  <c:v>58998.898068744689</c:v>
                </c:pt>
                <c:pt idx="118">
                  <c:v>62466.342021845281</c:v>
                </c:pt>
                <c:pt idx="119">
                  <c:v>66054.302025642246</c:v>
                </c:pt>
                <c:pt idx="120">
                  <c:v>69761.636240921915</c:v>
                </c:pt>
                <c:pt idx="121">
                  <c:v>73587.206946358085</c:v>
                </c:pt>
                <c:pt idx="122">
                  <c:v>77529.879075810313</c:v>
                </c:pt>
                <c:pt idx="123">
                  <c:v>81588.518907874823</c:v>
                </c:pt>
                <c:pt idx="124">
                  <c:v>85761.992897488177</c:v>
                </c:pt>
                <c:pt idx="125">
                  <c:v>90049.166639786214</c:v>
                </c:pt>
                <c:pt idx="126">
                  <c:v>94448.903957024217</c:v>
                </c:pt>
                <c:pt idx="127">
                  <c:v>98960.066099945456</c:v>
                </c:pt>
                <c:pt idx="128">
                  <c:v>103581.51105538756</c:v>
                </c:pt>
                <c:pt idx="129">
                  <c:v>108312.09295251966</c:v>
                </c:pt>
                <c:pt idx="130">
                  <c:v>113150.66156058758</c:v>
                </c:pt>
                <c:pt idx="131">
                  <c:v>118096.06187102571</c:v>
                </c:pt>
                <c:pt idx="132">
                  <c:v>123147.13375809416</c:v>
                </c:pt>
                <c:pt idx="133">
                  <c:v>128302.71171150729</c:v>
                </c:pt>
                <c:pt idx="134">
                  <c:v>133561.62463572249</c:v>
                </c:pt>
                <c:pt idx="135">
                  <c:v>138922.69571059942</c:v>
                </c:pt>
                <c:pt idx="136">
                  <c:v>144384.7423081845</c:v>
                </c:pt>
                <c:pt idx="137">
                  <c:v>149946.57596131787</c:v>
                </c:pt>
                <c:pt idx="138">
                  <c:v>155607.00237932429</c:v>
                </c:pt>
                <c:pt idx="139">
                  <c:v>161364.821506951</c:v>
                </c:pt>
                <c:pt idx="140">
                  <c:v>167218.82762254402</c:v>
                </c:pt>
                <c:pt idx="141">
                  <c:v>173167.80947189033</c:v>
                </c:pt>
                <c:pt idx="142">
                  <c:v>179210.5504344292</c:v>
                </c:pt>
                <c:pt idx="143">
                  <c:v>185345.82871839404</c:v>
                </c:pt>
                <c:pt idx="144">
                  <c:v>191572.41758244112</c:v>
                </c:pt>
                <c:pt idx="145">
                  <c:v>197889.08558033779</c:v>
                </c:pt>
                <c:pt idx="146">
                  <c:v>204294.59682674706</c:v>
                </c:pt>
                <c:pt idx="147">
                  <c:v>210787.71128123254</c:v>
                </c:pt>
                <c:pt idx="148">
                  <c:v>217367.18504856527</c:v>
                </c:pt>
                <c:pt idx="149">
                  <c:v>224031.77069300786</c:v>
                </c:pt>
                <c:pt idx="150">
                  <c:v>230780.21756473929</c:v>
                </c:pt>
                <c:pt idx="151">
                  <c:v>237611.2721366398</c:v>
                </c:pt>
                <c:pt idx="152">
                  <c:v>244523.67834953591</c:v>
                </c:pt>
                <c:pt idx="153">
                  <c:v>251516.17796477303</c:v>
                </c:pt>
                <c:pt idx="154">
                  <c:v>258587.51092203707</c:v>
                </c:pt>
                <c:pt idx="155">
                  <c:v>265736.41570173204</c:v>
                </c:pt>
                <c:pt idx="156">
                  <c:v>272961.62969025597</c:v>
                </c:pt>
                <c:pt idx="157">
                  <c:v>280261.8895470351</c:v>
                </c:pt>
                <c:pt idx="158">
                  <c:v>287635.93157262355</c:v>
                </c:pt>
                <c:pt idx="159">
                  <c:v>295082.49207633734</c:v>
                </c:pt>
                <c:pt idx="160">
                  <c:v>302600.30774310231</c:v>
                </c:pt>
                <c:pt idx="161">
                  <c:v>310188.11599815637</c:v>
                </c:pt>
                <c:pt idx="162">
                  <c:v>317844.6553693153</c:v>
                </c:pt>
                <c:pt idx="163">
                  <c:v>325568.66584584862</c:v>
                </c:pt>
                <c:pt idx="164">
                  <c:v>333358.8892333135</c:v>
                </c:pt>
                <c:pt idx="165">
                  <c:v>341214.06950401887</c:v>
                </c:pt>
                <c:pt idx="166">
                  <c:v>349132.95314237103</c:v>
                </c:pt>
                <c:pt idx="167">
                  <c:v>357114.2894847244</c:v>
                </c:pt>
                <c:pt idx="168">
                  <c:v>365156.83105332032</c:v>
                </c:pt>
                <c:pt idx="169">
                  <c:v>373259.33388397843</c:v>
                </c:pt>
                <c:pt idx="170">
                  <c:v>381420.55784714967</c:v>
                </c:pt>
                <c:pt idx="171">
                  <c:v>389639.26696199179</c:v>
                </c:pt>
                <c:pt idx="172">
                  <c:v>397914.22970345244</c:v>
                </c:pt>
                <c:pt idx="173">
                  <c:v>406244.21930173039</c:v>
                </c:pt>
                <c:pt idx="174">
                  <c:v>414628.01403439417</c:v>
                </c:pt>
                <c:pt idx="175">
                  <c:v>423064.39751058072</c:v>
                </c:pt>
                <c:pt idx="176">
                  <c:v>431552.15894740447</c:v>
                </c:pt>
                <c:pt idx="177">
                  <c:v>440090.09343838319</c:v>
                </c:pt>
                <c:pt idx="178">
                  <c:v>448677.00221376494</c:v>
                </c:pt>
                <c:pt idx="179">
                  <c:v>457311.69289275259</c:v>
                </c:pt>
                <c:pt idx="180">
                  <c:v>465992.97972747311</c:v>
                </c:pt>
                <c:pt idx="181">
                  <c:v>474719.68383887783</c:v>
                </c:pt>
                <c:pt idx="182">
                  <c:v>483490.63344432041</c:v>
                </c:pt>
                <c:pt idx="183">
                  <c:v>492304.6640769504</c:v>
                </c:pt>
                <c:pt idx="184">
                  <c:v>501160.6187969856</c:v>
                </c:pt>
                <c:pt idx="185">
                  <c:v>510057.34839477018</c:v>
                </c:pt>
                <c:pt idx="186">
                  <c:v>518993.71158577874</c:v>
                </c:pt>
                <c:pt idx="187">
                  <c:v>527968.57519757375</c:v>
                </c:pt>
                <c:pt idx="188">
                  <c:v>536980.8143488057</c:v>
                </c:pt>
                <c:pt idx="189">
                  <c:v>546029.31262030452</c:v>
                </c:pt>
                <c:pt idx="190">
                  <c:v>555112.96221841127</c:v>
                </c:pt>
                <c:pt idx="191">
                  <c:v>564230.66413056105</c:v>
                </c:pt>
                <c:pt idx="192">
                  <c:v>573381.32827337086</c:v>
                </c:pt>
                <c:pt idx="193">
                  <c:v>582563.8736330457</c:v>
                </c:pt>
                <c:pt idx="194">
                  <c:v>591777.22839868069</c:v>
                </c:pt>
                <c:pt idx="195">
                  <c:v>601020.33008805662</c:v>
                </c:pt>
                <c:pt idx="196">
                  <c:v>610292.12566640601</c:v>
                </c:pt>
                <c:pt idx="197">
                  <c:v>619591.57165832445</c:v>
                </c:pt>
                <c:pt idx="198">
                  <c:v>628917.63425253332</c:v>
                </c:pt>
                <c:pt idx="199">
                  <c:v>638269.28940011188</c:v>
                </c:pt>
                <c:pt idx="200">
                  <c:v>647645.52290609106</c:v>
                </c:pt>
                <c:pt idx="201">
                  <c:v>657045.33051457256</c:v>
                </c:pt>
                <c:pt idx="202">
                  <c:v>666467.71798752248</c:v>
                </c:pt>
                <c:pt idx="203">
                  <c:v>675911.70117743686</c:v>
                </c:pt>
                <c:pt idx="204">
                  <c:v>685376.30609390698</c:v>
                </c:pt>
                <c:pt idx="205">
                  <c:v>694860.56896439195</c:v>
                </c:pt>
                <c:pt idx="206">
                  <c:v>704363.53628913499</c:v>
                </c:pt>
                <c:pt idx="207">
                  <c:v>713884.2648906</c:v>
                </c:pt>
                <c:pt idx="208">
                  <c:v>723421.82195736654</c:v>
                </c:pt>
                <c:pt idx="209">
                  <c:v>732975.28508274816</c:v>
                </c:pt>
                <c:pt idx="210">
                  <c:v>742543.74229827151</c:v>
                </c:pt>
                <c:pt idx="211">
                  <c:v>752126.29210206494</c:v>
                </c:pt>
                <c:pt idx="212">
                  <c:v>761722.04348241724</c:v>
                </c:pt>
                <c:pt idx="213">
                  <c:v>771330.11593656801</c:v>
                </c:pt>
                <c:pt idx="214">
                  <c:v>780949.63948494196</c:v>
                </c:pt>
                <c:pt idx="215">
                  <c:v>790579.7546808403</c:v>
                </c:pt>
                <c:pt idx="216">
                  <c:v>800219.61261585727</c:v>
                </c:pt>
                <c:pt idx="217">
                  <c:v>809868.37492110394</c:v>
                </c:pt>
                <c:pt idx="218">
                  <c:v>819525.21376435459</c:v>
                </c:pt>
                <c:pt idx="219">
                  <c:v>829189.31184324063</c:v>
                </c:pt>
                <c:pt idx="220">
                  <c:v>838859.86237469874</c:v>
                </c:pt>
                <c:pt idx="221">
                  <c:v>848536.06908070855</c:v>
                </c:pt>
                <c:pt idx="222">
                  <c:v>858217.1461704988</c:v>
                </c:pt>
                <c:pt idx="223">
                  <c:v>867902.31831930019</c:v>
                </c:pt>
                <c:pt idx="224">
                  <c:v>877590.82064384967</c:v>
                </c:pt>
                <c:pt idx="225">
                  <c:v>887281.8986746259</c:v>
                </c:pt>
                <c:pt idx="226">
                  <c:v>896974.80832516588</c:v>
                </c:pt>
                <c:pt idx="227">
                  <c:v>906668.81585821323</c:v>
                </c:pt>
                <c:pt idx="228">
                  <c:v>916363.19784925692</c:v>
                </c:pt>
                <c:pt idx="229">
                  <c:v>926057.24114715867</c:v>
                </c:pt>
                <c:pt idx="230">
                  <c:v>935750.24283228815</c:v>
                </c:pt>
                <c:pt idx="231">
                  <c:v>945441.51017205045</c:v>
                </c:pt>
                <c:pt idx="232">
                  <c:v>955130.36057403497</c:v>
                </c:pt>
                <c:pt idx="233">
                  <c:v>964816.12153690867</c:v>
                </c:pt>
                <c:pt idx="234">
                  <c:v>974498.13059899583</c:v>
                </c:pt>
                <c:pt idx="235">
                  <c:v>984175.7352848053</c:v>
                </c:pt>
                <c:pt idx="236">
                  <c:v>993848.29304954596</c:v>
                </c:pt>
                <c:pt idx="237">
                  <c:v>1003515.1712216791</c:v>
                </c:pt>
                <c:pt idx="238">
                  <c:v>1013175.7469436545</c:v>
                </c:pt>
                <c:pt idx="239">
                  <c:v>1022829.4071108494</c:v>
                </c:pt>
                <c:pt idx="240">
                  <c:v>1032475.548308963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F-4A42-949D-531CB45ED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480111"/>
        <c:axId val="2062493007"/>
      </c:scatterChart>
      <c:valAx>
        <c:axId val="206248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</a:t>
                </a:r>
                <a:r>
                  <a:rPr lang="en-US" baseline="0"/>
                  <a:t> shift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93007"/>
        <c:crosses val="autoZero"/>
        <c:crossBetween val="midCat"/>
      </c:valAx>
      <c:valAx>
        <c:axId val="20624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Surplus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8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Liability vs weights</a:t>
            </a: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</cx:rich>
      </cx:tx>
    </cx:title>
    <cx:plotArea>
      <cx:plotAreaRegion>
        <cx:series layoutId="clusteredColumn" uniqueId="{E8395A77-0DD7-488F-9DCC-522578048803}">
          <cx:dataId val="0"/>
          <cx:layoutPr>
            <cx:aggregation/>
          </cx:layoutPr>
          <cx:axisId val="0"/>
        </cx:series>
        <cx:series layoutId="paretoLine" ownerIdx="0" uniqueId="{CF7EE829-2CD8-40B3-89D9-A77EFEA02B11}">
          <cx:axisId val="2"/>
        </cx:series>
      </cx:plotAreaRegion>
      <cx:axis id="0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Weight</a:t>
                </a:r>
              </a:p>
              <a:p>
                <a:pPr algn="ctr" rtl="0">
                  <a:defRPr/>
                </a:pP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cat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Liability</a:t>
                </a:r>
              </a:p>
              <a:p>
                <a:pPr algn="ctr" rtl="0">
                  <a:defRPr/>
                </a:pP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2">
        <cx:valScaling max="1" min="0"/>
        <cx:title>
          <cx:tx>
            <cx:txData>
              <cx:v>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Weight</a:t>
              </a: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52294</xdr:colOff>
      <xdr:row>55</xdr:row>
      <xdr:rowOff>112059</xdr:rowOff>
    </xdr:from>
    <xdr:to>
      <xdr:col>11</xdr:col>
      <xdr:colOff>455706</xdr:colOff>
      <xdr:row>75</xdr:row>
      <xdr:rowOff>59764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62F576-4E2D-4372-8304-B8158D96E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810558</xdr:colOff>
      <xdr:row>28</xdr:row>
      <xdr:rowOff>129989</xdr:rowOff>
    </xdr:from>
    <xdr:to>
      <xdr:col>9</xdr:col>
      <xdr:colOff>1116852</xdr:colOff>
      <xdr:row>43</xdr:row>
      <xdr:rowOff>104589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22F448-3A26-4133-BCF1-F0F96DAAAE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4911" y="5441577"/>
              <a:ext cx="4572000" cy="2708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18B4-2868-43EE-AD82-25D4B2EBF150}">
  <dimension ref="A2:AB1572"/>
  <sheetViews>
    <sheetView tabSelected="1" topLeftCell="A22" zoomScale="102" zoomScaleNormal="102" workbookViewId="0">
      <selection activeCell="H22" activeCellId="1" sqref="B22:B46 H22:H46"/>
    </sheetView>
  </sheetViews>
  <sheetFormatPr defaultRowHeight="14.4" x14ac:dyDescent="0.3"/>
  <cols>
    <col min="2" max="2" width="17.44140625" bestFit="1" customWidth="1"/>
    <col min="3" max="3" width="17.88671875" customWidth="1"/>
    <col min="4" max="4" width="14.33203125" bestFit="1" customWidth="1"/>
    <col min="5" max="5" width="17.88671875" customWidth="1"/>
    <col min="6" max="6" width="16" customWidth="1"/>
    <col min="7" max="7" width="16.77734375" customWidth="1"/>
    <col min="8" max="8" width="10.88671875" customWidth="1"/>
    <col min="9" max="9" width="18.5546875" customWidth="1"/>
    <col min="10" max="10" width="17.6640625" customWidth="1"/>
    <col min="11" max="11" width="20.77734375" bestFit="1" customWidth="1"/>
    <col min="20" max="20" width="10.77734375" customWidth="1"/>
  </cols>
  <sheetData>
    <row r="2" spans="2:25" ht="21" x14ac:dyDescent="0.4">
      <c r="R2" s="159" t="s">
        <v>112</v>
      </c>
      <c r="S2" s="159"/>
      <c r="T2" s="159"/>
      <c r="U2" s="159"/>
      <c r="V2" s="159"/>
      <c r="W2" s="159"/>
      <c r="X2" s="159"/>
    </row>
    <row r="3" spans="2:25" x14ac:dyDescent="0.3">
      <c r="B3" t="s">
        <v>0</v>
      </c>
      <c r="C3" s="1">
        <v>45803</v>
      </c>
      <c r="E3" t="s">
        <v>1</v>
      </c>
      <c r="F3" s="2">
        <v>0</v>
      </c>
    </row>
    <row r="5" spans="2:25" x14ac:dyDescent="0.3">
      <c r="Y5" s="31" t="s">
        <v>29</v>
      </c>
    </row>
    <row r="6" spans="2:25" ht="21" x14ac:dyDescent="0.4">
      <c r="B6" s="138" t="s">
        <v>2</v>
      </c>
      <c r="C6" s="90" t="s">
        <v>3</v>
      </c>
      <c r="D6" s="90" t="s">
        <v>4</v>
      </c>
      <c r="E6" s="90" t="s">
        <v>5</v>
      </c>
      <c r="F6" s="90" t="s">
        <v>6</v>
      </c>
      <c r="G6" s="90" t="s">
        <v>30</v>
      </c>
      <c r="H6" s="90" t="s">
        <v>32</v>
      </c>
      <c r="I6" s="90" t="s">
        <v>33</v>
      </c>
      <c r="J6" s="90" t="s">
        <v>34</v>
      </c>
      <c r="K6" s="90" t="s">
        <v>35</v>
      </c>
      <c r="P6" s="28" t="s">
        <v>48</v>
      </c>
      <c r="Q6" s="28">
        <v>3</v>
      </c>
      <c r="R6" s="29">
        <v>45809</v>
      </c>
      <c r="S6" s="45">
        <v>6</v>
      </c>
      <c r="T6" s="46">
        <v>100.14298013043557</v>
      </c>
      <c r="U6" s="47">
        <v>7.6833333333333337E-2</v>
      </c>
      <c r="V6" s="46">
        <v>100.14654812794471</v>
      </c>
      <c r="W6" s="47">
        <v>7.4833333333333335E-2</v>
      </c>
      <c r="X6" s="48">
        <v>3.5679975091369442E-3</v>
      </c>
      <c r="Y6" s="35">
        <f>AVERAGE(U6,W6)</f>
        <v>7.5833333333333336E-2</v>
      </c>
    </row>
    <row r="7" spans="2:25" x14ac:dyDescent="0.3">
      <c r="B7" s="139">
        <v>1</v>
      </c>
      <c r="C7" s="97">
        <v>10091060</v>
      </c>
      <c r="D7" s="100">
        <v>46421</v>
      </c>
      <c r="E7" s="106">
        <f>(D7-$C$3)/364</f>
        <v>1.6978021978021978</v>
      </c>
      <c r="F7" s="109" cm="1">
        <f t="array" ref="F7">_xll.SRS1Splines.Functions25.Cubic_Spline(Sheet2!$N$2:$N$13,Sheet2!$O$2:$O$13,E7)+0.5%</f>
        <v>9.0427104699250804E-2</v>
      </c>
      <c r="G7" s="97">
        <f>C7*PRICE($C$3,D7,0,F7,1,2,1)</f>
        <v>8689613.0259019025</v>
      </c>
      <c r="H7" s="91">
        <f>G7/$G$17</f>
        <v>0.12963171564012632</v>
      </c>
      <c r="I7" s="114">
        <f>MDURATION($C$3,D7,0,F7,2,1)</f>
        <v>1.6174759033751211</v>
      </c>
      <c r="J7" s="97">
        <f>C7*PRICE($C$3,D7,0,F7+$F$3,1,2,1)</f>
        <v>8689613.0259019025</v>
      </c>
      <c r="K7" s="94">
        <f>D7-$C$3</f>
        <v>618</v>
      </c>
      <c r="P7" s="28" t="s">
        <v>49</v>
      </c>
      <c r="Q7" s="28">
        <v>3</v>
      </c>
      <c r="R7" s="29">
        <v>45839</v>
      </c>
      <c r="S7" s="45">
        <v>36</v>
      </c>
      <c r="T7" s="46">
        <v>100.95150522278317</v>
      </c>
      <c r="U7" s="47">
        <v>7.7958333333333338E-2</v>
      </c>
      <c r="V7" s="46">
        <v>100.97463638225655</v>
      </c>
      <c r="W7" s="47">
        <v>7.5791666666666674E-2</v>
      </c>
      <c r="X7" s="48">
        <v>2.3131159473379626E-2</v>
      </c>
      <c r="Y7" s="35">
        <f t="shared" ref="Y7:Y59" si="0">AVERAGE(U7,W7)</f>
        <v>7.6874999999999999E-2</v>
      </c>
    </row>
    <row r="8" spans="2:25" x14ac:dyDescent="0.3">
      <c r="B8" s="140">
        <v>2</v>
      </c>
      <c r="C8" s="98">
        <v>10518678</v>
      </c>
      <c r="D8" s="101">
        <v>47053</v>
      </c>
      <c r="E8" s="107">
        <f t="shared" ref="E8:E16" si="1">(D8-$C$3)/364</f>
        <v>3.4340659340659339</v>
      </c>
      <c r="F8" s="110" cm="1">
        <f t="array" ref="F8">_xll.SRS1Splines.Functions25.Cubic_Spline(Sheet2!$N$2:$N$13,Sheet2!$O$2:$O$13,E8)+0.5%</f>
        <v>0.10306454106063641</v>
      </c>
      <c r="G8" s="98">
        <f t="shared" ref="G8:G16" si="2">C8*PRICE($C$3,D8,0,F8,1,2,1)</f>
        <v>7458665.8394161873</v>
      </c>
      <c r="H8" s="92">
        <f t="shared" ref="H8" si="3">G8/$G$17</f>
        <v>0.11126843580581311</v>
      </c>
      <c r="I8" s="115">
        <f t="shared" ref="I8:I16" si="4">MDURATION($C$3,D8,0,F8,2,1)</f>
        <v>3.2531241533816297</v>
      </c>
      <c r="J8" s="98">
        <f t="shared" ref="J8:J16" si="5">C8*PRICE($C$3,D8,0,F8+$F$3,1,2,1)</f>
        <v>7458665.8394161873</v>
      </c>
      <c r="K8" s="95">
        <f t="shared" ref="K8:K16" si="6">D8-$C$3</f>
        <v>1250</v>
      </c>
      <c r="P8" s="28" t="s">
        <v>50</v>
      </c>
      <c r="Q8" s="28">
        <v>10</v>
      </c>
      <c r="R8" s="29">
        <v>45870</v>
      </c>
      <c r="S8" s="45">
        <v>67</v>
      </c>
      <c r="T8" s="46">
        <v>100.52315573194473</v>
      </c>
      <c r="U8" s="47">
        <v>7.8600000000000003E-2</v>
      </c>
      <c r="V8" s="46">
        <v>100.56111015466598</v>
      </c>
      <c r="W8" s="47">
        <v>7.6600000000000001E-2</v>
      </c>
      <c r="X8" s="48">
        <v>3.7954422721256265E-2</v>
      </c>
      <c r="Y8" s="35">
        <f t="shared" si="0"/>
        <v>7.7600000000000002E-2</v>
      </c>
    </row>
    <row r="9" spans="2:25" x14ac:dyDescent="0.3">
      <c r="B9" s="140">
        <v>3</v>
      </c>
      <c r="C9" s="98">
        <v>11892833</v>
      </c>
      <c r="D9" s="101">
        <v>49825</v>
      </c>
      <c r="E9" s="107">
        <f t="shared" si="1"/>
        <v>11.049450549450549</v>
      </c>
      <c r="F9" s="110" cm="1">
        <f t="array" ref="F9">_xll.SRS1Splines.Functions25.Cubic_Spline(Sheet2!$N$2:$N$13,Sheet2!$O$2:$O$13,E9)+0.5%</f>
        <v>0.11912072036344901</v>
      </c>
      <c r="G9" s="98">
        <f t="shared" si="2"/>
        <v>3326324.4342142302</v>
      </c>
      <c r="H9" s="92">
        <f t="shared" ref="H9:H16" si="7">G9/$G$17</f>
        <v>4.9622134138488726E-2</v>
      </c>
      <c r="I9" s="115">
        <f t="shared" si="4"/>
        <v>10.392092926040014</v>
      </c>
      <c r="J9" s="98">
        <f t="shared" si="5"/>
        <v>3326324.4342142302</v>
      </c>
      <c r="K9" s="95">
        <f t="shared" si="6"/>
        <v>4022</v>
      </c>
      <c r="P9" s="28" t="s">
        <v>51</v>
      </c>
      <c r="Q9" s="28">
        <v>8</v>
      </c>
      <c r="R9" s="29">
        <v>45945</v>
      </c>
      <c r="S9" s="45">
        <v>142</v>
      </c>
      <c r="T9" s="46">
        <v>100.86283502336508</v>
      </c>
      <c r="U9" s="47">
        <v>7.9650000000000012E-2</v>
      </c>
      <c r="V9" s="46">
        <v>100.93199445825938</v>
      </c>
      <c r="W9" s="47">
        <v>7.7850000000000003E-2</v>
      </c>
      <c r="X9" s="48">
        <v>6.9159434894302763E-2</v>
      </c>
      <c r="Y9" s="35">
        <f t="shared" si="0"/>
        <v>7.8750000000000014E-2</v>
      </c>
    </row>
    <row r="10" spans="2:25" x14ac:dyDescent="0.3">
      <c r="B10" s="140">
        <v>4</v>
      </c>
      <c r="C10" s="98">
        <v>12310437</v>
      </c>
      <c r="D10" s="101">
        <v>50249</v>
      </c>
      <c r="E10" s="107">
        <f t="shared" si="1"/>
        <v>12.214285714285714</v>
      </c>
      <c r="F10" s="110" cm="1">
        <f t="array" ref="F10">_xll.SRS1Splines.Functions25.Cubic_Spline(Sheet2!$N$2:$N$13,Sheet2!$O$2:$O$13,E10)+0.5%</f>
        <v>0.12036825943019701</v>
      </c>
      <c r="G10" s="98">
        <f t="shared" si="2"/>
        <v>2966797.6298652985</v>
      </c>
      <c r="H10" s="92">
        <f t="shared" si="7"/>
        <v>4.4258710436254678E-2</v>
      </c>
      <c r="I10" s="115">
        <f t="shared" si="4"/>
        <v>11.482942262532056</v>
      </c>
      <c r="J10" s="98">
        <f t="shared" si="5"/>
        <v>2966797.6298652985</v>
      </c>
      <c r="K10" s="95">
        <f t="shared" si="6"/>
        <v>4446</v>
      </c>
      <c r="P10" s="28" t="s">
        <v>52</v>
      </c>
      <c r="Q10" s="28">
        <v>5</v>
      </c>
      <c r="R10" s="29">
        <v>46037</v>
      </c>
      <c r="S10" s="45">
        <v>234</v>
      </c>
      <c r="T10" s="46">
        <v>99.144917068488525</v>
      </c>
      <c r="U10" s="47">
        <v>8.1300000000000011E-2</v>
      </c>
      <c r="V10" s="46">
        <v>99.242104531247477</v>
      </c>
      <c r="W10" s="47">
        <v>7.9700000000000007E-2</v>
      </c>
      <c r="X10" s="48">
        <v>9.7187462758952847E-2</v>
      </c>
      <c r="Y10" s="35">
        <f t="shared" si="0"/>
        <v>8.0500000000000016E-2</v>
      </c>
    </row>
    <row r="11" spans="2:25" x14ac:dyDescent="0.3">
      <c r="B11" s="140">
        <v>5</v>
      </c>
      <c r="C11" s="98">
        <v>12023565</v>
      </c>
      <c r="D11" s="101">
        <v>46448</v>
      </c>
      <c r="E11" s="107">
        <f t="shared" si="1"/>
        <v>1.7719780219780219</v>
      </c>
      <c r="F11" s="110" cm="1">
        <f t="array" ref="F11">_xll.SRS1Splines.Functions25.Cubic_Spline(Sheet2!$N$2:$N$13,Sheet2!$O$2:$O$13,E11)+0.5%</f>
        <v>9.0909193447443901E-2</v>
      </c>
      <c r="G11" s="98">
        <f t="shared" si="2"/>
        <v>10273790.411917092</v>
      </c>
      <c r="H11" s="92">
        <f t="shared" si="7"/>
        <v>0.15326448637632664</v>
      </c>
      <c r="I11" s="115">
        <f t="shared" si="4"/>
        <v>1.6921076674914914</v>
      </c>
      <c r="J11" s="98">
        <f t="shared" si="5"/>
        <v>10273790.411917092</v>
      </c>
      <c r="K11" s="95">
        <f t="shared" si="6"/>
        <v>645</v>
      </c>
      <c r="P11" s="28" t="s">
        <v>53</v>
      </c>
      <c r="Q11" s="28">
        <v>13</v>
      </c>
      <c r="R11" s="29">
        <v>46054</v>
      </c>
      <c r="S11" s="45">
        <v>251</v>
      </c>
      <c r="T11" s="46">
        <v>100.5216285350766</v>
      </c>
      <c r="U11" s="47">
        <v>8.1694444444444445E-2</v>
      </c>
      <c r="V11" s="46">
        <v>100.63156342104479</v>
      </c>
      <c r="W11" s="47">
        <v>8.0027777777777767E-2</v>
      </c>
      <c r="X11" s="48">
        <v>0.10993488596818679</v>
      </c>
      <c r="Y11" s="35">
        <f t="shared" si="0"/>
        <v>8.0861111111111106E-2</v>
      </c>
    </row>
    <row r="12" spans="2:25" x14ac:dyDescent="0.3">
      <c r="B12" s="140">
        <v>6</v>
      </c>
      <c r="C12" s="98">
        <v>15669237</v>
      </c>
      <c r="D12" s="101">
        <v>49451</v>
      </c>
      <c r="E12" s="107">
        <f t="shared" si="1"/>
        <v>10.021978021978022</v>
      </c>
      <c r="F12" s="110" cm="1">
        <f t="array" ref="F12">_xll.SRS1Splines.Functions25.Cubic_Spline(Sheet2!$N$2:$N$13,Sheet2!$O$2:$O$13,E12)+0.5%</f>
        <v>0.117324671934079</v>
      </c>
      <c r="G12" s="98">
        <f>C12*PRICE($C$3,D12,0,F12,1,2,1)</f>
        <v>5016915.7271675821</v>
      </c>
      <c r="H12" s="92">
        <f t="shared" si="7"/>
        <v>7.4842388377492214E-2</v>
      </c>
      <c r="I12" s="115">
        <f t="shared" si="4"/>
        <v>9.4356152055395413</v>
      </c>
      <c r="J12" s="98">
        <f>C12*PRICE($C$3,D12,0,F12+$F$3,1,2,1)</f>
        <v>5016915.7271675821</v>
      </c>
      <c r="K12" s="95">
        <f t="shared" si="6"/>
        <v>3648</v>
      </c>
      <c r="P12" s="28" t="s">
        <v>54</v>
      </c>
      <c r="Q12" s="28">
        <v>15</v>
      </c>
      <c r="R12" s="29">
        <v>46082</v>
      </c>
      <c r="S12" s="45">
        <v>279</v>
      </c>
      <c r="T12" s="46">
        <v>97.874959818699494</v>
      </c>
      <c r="U12" s="47">
        <v>8.2500000000000004E-2</v>
      </c>
      <c r="V12" s="46">
        <v>97.996964783161516</v>
      </c>
      <c r="W12" s="47">
        <v>8.0800000000000011E-2</v>
      </c>
      <c r="X12" s="48">
        <v>0.1220049644620218</v>
      </c>
      <c r="Y12" s="35">
        <f t="shared" si="0"/>
        <v>8.165E-2</v>
      </c>
    </row>
    <row r="13" spans="2:25" x14ac:dyDescent="0.3">
      <c r="B13" s="140">
        <v>7</v>
      </c>
      <c r="C13" s="98">
        <v>16609183</v>
      </c>
      <c r="D13" s="101">
        <v>49924</v>
      </c>
      <c r="E13" s="107">
        <f t="shared" si="1"/>
        <v>11.321428571428571</v>
      </c>
      <c r="F13" s="110" cm="1">
        <f t="array" ref="F13">_xll.SRS1Splines.Functions25.Cubic_Spline(Sheet2!$N$2:$N$13,Sheet2!$O$2:$O$13,E13)+0.5%</f>
        <v>0.11948147598835801</v>
      </c>
      <c r="G13" s="98">
        <f t="shared" si="2"/>
        <v>4485905.3412492378</v>
      </c>
      <c r="H13" s="92">
        <f t="shared" si="7"/>
        <v>6.692077125321573E-2</v>
      </c>
      <c r="I13" s="115">
        <f t="shared" si="4"/>
        <v>10.644010275284693</v>
      </c>
      <c r="J13" s="98">
        <f t="shared" si="5"/>
        <v>4485905.3412492378</v>
      </c>
      <c r="K13" s="95">
        <f t="shared" si="6"/>
        <v>4121</v>
      </c>
      <c r="P13" s="28" t="s">
        <v>55</v>
      </c>
      <c r="Q13" s="28">
        <v>4</v>
      </c>
      <c r="R13" s="29">
        <v>46157</v>
      </c>
      <c r="S13" s="45">
        <v>354</v>
      </c>
      <c r="T13" s="46">
        <v>112.9281624771649</v>
      </c>
      <c r="U13" s="47">
        <v>8.3375000000000019E-2</v>
      </c>
      <c r="V13" s="46">
        <v>113.08761824804519</v>
      </c>
      <c r="W13" s="47">
        <v>8.1791666666666679E-2</v>
      </c>
      <c r="X13" s="48">
        <v>0.15945577088028529</v>
      </c>
      <c r="Y13" s="35">
        <f t="shared" si="0"/>
        <v>8.2583333333333342E-2</v>
      </c>
    </row>
    <row r="14" spans="2:25" x14ac:dyDescent="0.3">
      <c r="B14" s="140">
        <v>8</v>
      </c>
      <c r="C14" s="98">
        <v>14932483</v>
      </c>
      <c r="D14" s="101">
        <v>48860</v>
      </c>
      <c r="E14" s="107">
        <f t="shared" si="1"/>
        <v>8.3983516483516478</v>
      </c>
      <c r="F14" s="110" cm="1">
        <f t="array" ref="F14">_xll.SRS1Splines.Functions25.Cubic_Spline(Sheet2!$N$2:$N$13,Sheet2!$O$2:$O$13,E14)+0.5%</f>
        <v>0.11371933676988701</v>
      </c>
      <c r="G14" s="98">
        <f t="shared" si="2"/>
        <v>5917484.5665477524</v>
      </c>
      <c r="H14" s="92">
        <f t="shared" si="7"/>
        <v>8.8277081424570927E-2</v>
      </c>
      <c r="I14" s="115">
        <f t="shared" si="4"/>
        <v>7.9186033012361845</v>
      </c>
      <c r="J14" s="98">
        <f t="shared" si="5"/>
        <v>5917484.5665477524</v>
      </c>
      <c r="K14" s="95">
        <f t="shared" si="6"/>
        <v>3057</v>
      </c>
      <c r="P14" s="28" t="s">
        <v>56</v>
      </c>
      <c r="Q14" s="28">
        <v>11</v>
      </c>
      <c r="R14" s="29">
        <v>46174</v>
      </c>
      <c r="S14" s="45">
        <v>371</v>
      </c>
      <c r="T14" s="46">
        <v>102.51644284686635</v>
      </c>
      <c r="U14" s="47">
        <v>8.3624999999999991E-2</v>
      </c>
      <c r="V14" s="46">
        <v>102.66271748674635</v>
      </c>
      <c r="W14" s="47">
        <v>8.2125000000000004E-2</v>
      </c>
      <c r="X14" s="48">
        <v>0.14627463987999079</v>
      </c>
      <c r="Y14" s="35">
        <f t="shared" si="0"/>
        <v>8.2875000000000004E-2</v>
      </c>
    </row>
    <row r="15" spans="2:25" x14ac:dyDescent="0.3">
      <c r="B15" s="140">
        <v>9</v>
      </c>
      <c r="C15" s="98">
        <v>16756607</v>
      </c>
      <c r="D15" s="101">
        <v>49955</v>
      </c>
      <c r="E15" s="107">
        <f t="shared" si="1"/>
        <v>11.406593406593407</v>
      </c>
      <c r="F15" s="110" cm="1">
        <f t="array" ref="F15">_xll.SRS1Splines.Functions25.Cubic_Spline(Sheet2!$N$2:$N$13,Sheet2!$O$2:$O$13,E15)+0.5%</f>
        <v>0.119585308761124</v>
      </c>
      <c r="G15" s="98">
        <f t="shared" si="2"/>
        <v>4475673.603201882</v>
      </c>
      <c r="H15" s="92">
        <f t="shared" si="7"/>
        <v>6.6768134104345525E-2</v>
      </c>
      <c r="I15" s="115">
        <f t="shared" si="4"/>
        <v>10.724852801723387</v>
      </c>
      <c r="J15" s="98">
        <f t="shared" si="5"/>
        <v>4475673.603201882</v>
      </c>
      <c r="K15" s="95">
        <f t="shared" si="6"/>
        <v>4152</v>
      </c>
      <c r="P15" s="28" t="s">
        <v>57</v>
      </c>
      <c r="Q15" s="28">
        <v>10</v>
      </c>
      <c r="R15" s="29">
        <v>46235</v>
      </c>
      <c r="S15" s="45">
        <v>432</v>
      </c>
      <c r="T15" s="46">
        <v>103.38539703460874</v>
      </c>
      <c r="U15" s="47">
        <v>8.4138888888888874E-2</v>
      </c>
      <c r="V15" s="46">
        <v>103.52443888761302</v>
      </c>
      <c r="W15" s="47">
        <v>8.2916666666666652E-2</v>
      </c>
      <c r="X15" s="48">
        <v>0.1390418530042723</v>
      </c>
      <c r="Y15" s="35">
        <f t="shared" si="0"/>
        <v>8.3527777777777756E-2</v>
      </c>
    </row>
    <row r="16" spans="2:25" x14ac:dyDescent="0.3">
      <c r="B16" s="141">
        <v>10</v>
      </c>
      <c r="C16" s="99">
        <v>20534684</v>
      </c>
      <c r="D16" s="102">
        <v>47084</v>
      </c>
      <c r="E16" s="108">
        <f t="shared" si="1"/>
        <v>3.5192307692307692</v>
      </c>
      <c r="F16" s="111" cm="1">
        <f t="array" ref="F16">_xll.SRS1Splines.Functions25.Cubic_Spline(Sheet2!$N$2:$N$13,Sheet2!$O$2:$O$13,E16)+0.5%</f>
        <v>0.1034699834460558</v>
      </c>
      <c r="G16" s="99">
        <f t="shared" si="2"/>
        <v>14421908.347170889</v>
      </c>
      <c r="H16" s="93">
        <f t="shared" si="7"/>
        <v>0.21514614244336616</v>
      </c>
      <c r="I16" s="116">
        <f t="shared" si="4"/>
        <v>3.3304610557843559</v>
      </c>
      <c r="J16" s="99">
        <f t="shared" si="5"/>
        <v>14421908.347170889</v>
      </c>
      <c r="K16" s="96">
        <f t="shared" si="6"/>
        <v>1281</v>
      </c>
      <c r="P16" s="28" t="s">
        <v>58</v>
      </c>
      <c r="Q16" s="28">
        <v>3</v>
      </c>
      <c r="R16" s="29">
        <v>46371</v>
      </c>
      <c r="S16" s="45">
        <v>568</v>
      </c>
      <c r="T16" s="46">
        <v>103.81057497316282</v>
      </c>
      <c r="U16" s="47">
        <v>8.5722222222222214E-2</v>
      </c>
      <c r="V16" s="46">
        <v>103.99810393648025</v>
      </c>
      <c r="W16" s="47">
        <v>8.4444444444444433E-2</v>
      </c>
      <c r="X16" s="48">
        <v>0.18752896331743329</v>
      </c>
      <c r="Y16" s="35">
        <f t="shared" si="0"/>
        <v>8.5083333333333316E-2</v>
      </c>
    </row>
    <row r="17" spans="1:25" x14ac:dyDescent="0.3">
      <c r="F17" s="112" t="s">
        <v>31</v>
      </c>
      <c r="G17" s="113">
        <f>SUM(G7:G16)</f>
        <v>67033078.926652052</v>
      </c>
      <c r="I17" s="117">
        <f>SUMPRODUCT(H7:H16,I7:I16)</f>
        <v>5.4050190725102922</v>
      </c>
      <c r="J17" s="113">
        <f>SUM(J7:J16)</f>
        <v>67033078.926652052</v>
      </c>
      <c r="K17" s="118">
        <f>SUM(K7:K16)</f>
        <v>27240</v>
      </c>
      <c r="P17" s="28" t="s">
        <v>59</v>
      </c>
      <c r="Q17" s="28">
        <v>8</v>
      </c>
      <c r="R17" s="29">
        <v>46402</v>
      </c>
      <c r="S17" s="45">
        <v>599</v>
      </c>
      <c r="T17" s="46">
        <v>104.00223480293101</v>
      </c>
      <c r="U17" s="47">
        <v>8.7093749999999984E-2</v>
      </c>
      <c r="V17" s="46">
        <v>104.17566454086266</v>
      </c>
      <c r="W17" s="47">
        <v>8.5968749999999997E-2</v>
      </c>
      <c r="X17" s="48">
        <v>0.17342973793164163</v>
      </c>
      <c r="Y17" s="35">
        <f t="shared" si="0"/>
        <v>8.653124999999999E-2</v>
      </c>
    </row>
    <row r="18" spans="1:25" x14ac:dyDescent="0.3">
      <c r="P18" s="28" t="s">
        <v>60</v>
      </c>
      <c r="Q18" s="28">
        <v>5</v>
      </c>
      <c r="R18" s="29">
        <v>46508</v>
      </c>
      <c r="S18" s="45">
        <v>705</v>
      </c>
      <c r="T18" s="46">
        <v>115.69998892792123</v>
      </c>
      <c r="U18" s="47">
        <v>8.9571428571428552E-2</v>
      </c>
      <c r="V18" s="46">
        <v>115.93349731641824</v>
      </c>
      <c r="W18" s="47">
        <v>8.835714285714287E-2</v>
      </c>
      <c r="X18" s="48">
        <v>0.23350838849701461</v>
      </c>
      <c r="Y18" s="35">
        <f t="shared" si="0"/>
        <v>8.8964285714285718E-2</v>
      </c>
    </row>
    <row r="19" spans="1:25" x14ac:dyDescent="0.3">
      <c r="P19" s="28" t="s">
        <v>61</v>
      </c>
      <c r="Q19" s="28">
        <v>10</v>
      </c>
      <c r="R19" s="29">
        <v>46553</v>
      </c>
      <c r="S19" s="45">
        <v>750</v>
      </c>
      <c r="T19" s="46">
        <v>104.87715076414484</v>
      </c>
      <c r="U19" s="47">
        <v>9.0877599999999975E-2</v>
      </c>
      <c r="V19" s="46">
        <v>105.18117769369968</v>
      </c>
      <c r="W19" s="47">
        <v>8.9277600000000013E-2</v>
      </c>
      <c r="X19" s="48">
        <v>0.30402692955483701</v>
      </c>
      <c r="Y19" s="35">
        <f t="shared" si="0"/>
        <v>9.0077599999999994E-2</v>
      </c>
    </row>
    <row r="20" spans="1:25" ht="21" x14ac:dyDescent="0.4">
      <c r="B20" s="120" t="s">
        <v>36</v>
      </c>
      <c r="P20" s="28" t="s">
        <v>62</v>
      </c>
      <c r="Q20" s="28">
        <v>7</v>
      </c>
      <c r="R20" s="29">
        <v>46614</v>
      </c>
      <c r="S20" s="45">
        <v>811</v>
      </c>
      <c r="T20" s="46">
        <v>97.344624589665301</v>
      </c>
      <c r="U20" s="47">
        <v>9.1355400000000003E-2</v>
      </c>
      <c r="V20" s="46">
        <v>97.655816259531576</v>
      </c>
      <c r="W20" s="47">
        <v>8.9755399999999999E-2</v>
      </c>
      <c r="X20" s="48">
        <v>0.31119166986627533</v>
      </c>
      <c r="Y20" s="35">
        <f t="shared" si="0"/>
        <v>9.0555400000000008E-2</v>
      </c>
    </row>
    <row r="21" spans="1:25" ht="15.6" x14ac:dyDescent="0.3">
      <c r="B21" s="89" t="s">
        <v>37</v>
      </c>
      <c r="C21" s="89" t="s">
        <v>38</v>
      </c>
      <c r="D21" s="89" t="s">
        <v>39</v>
      </c>
      <c r="E21" s="89" t="s">
        <v>40</v>
      </c>
      <c r="F21" s="89" t="s">
        <v>41</v>
      </c>
      <c r="G21" s="89" t="s">
        <v>33</v>
      </c>
      <c r="H21" s="88" t="s">
        <v>32</v>
      </c>
      <c r="I21" s="89" t="s">
        <v>42</v>
      </c>
      <c r="J21" s="89" t="s">
        <v>43</v>
      </c>
      <c r="K21" s="89" t="s">
        <v>34</v>
      </c>
      <c r="P21" s="28" t="s">
        <v>63</v>
      </c>
      <c r="Q21" s="28">
        <v>5</v>
      </c>
      <c r="R21" s="29">
        <v>46645</v>
      </c>
      <c r="S21" s="45">
        <v>842</v>
      </c>
      <c r="T21" s="46">
        <v>121.77187739587821</v>
      </c>
      <c r="U21" s="47">
        <v>9.2645749999999985E-2</v>
      </c>
      <c r="V21" s="46">
        <v>122.07731273783398</v>
      </c>
      <c r="W21" s="47">
        <v>9.1333249999999977E-2</v>
      </c>
      <c r="X21" s="48">
        <v>0.30543534195577138</v>
      </c>
      <c r="Y21" s="35">
        <f t="shared" si="0"/>
        <v>9.1989499999999974E-2</v>
      </c>
    </row>
    <row r="22" spans="1:25" x14ac:dyDescent="0.3">
      <c r="A22" s="160" t="s">
        <v>113</v>
      </c>
      <c r="B22" s="121" t="s">
        <v>79</v>
      </c>
      <c r="C22" s="126">
        <v>47467</v>
      </c>
      <c r="D22" s="110">
        <f t="shared" ref="D22:D43" si="8">VALUE(LEFT(B22,5))/100</f>
        <v>0.11</v>
      </c>
      <c r="E22" s="110">
        <f>Y37</f>
        <v>0.10117500000000001</v>
      </c>
      <c r="F22" s="104">
        <f t="shared" ref="F22:F43" si="9">PRICE($C$3,C22,D22,E22,100,2,1)</f>
        <v>103.14503416154695</v>
      </c>
      <c r="G22" s="115">
        <f t="shared" ref="G22:G43" si="10">MDURATION($C$3,C22,D22,E22,2,1)</f>
        <v>3.3794184846141255</v>
      </c>
      <c r="H22" s="109">
        <v>2.765398006576492E-3</v>
      </c>
      <c r="I22" s="133">
        <f>($G$17+769559.51)*H22</f>
        <v>187501.28117334421</v>
      </c>
      <c r="J22" s="103">
        <f>PRICE($C$3,C22,D22,E22+$F$3,100,2,1)</f>
        <v>103.14503416154695</v>
      </c>
      <c r="K22" s="133">
        <f>I22/F22*J22</f>
        <v>187501.28117334421</v>
      </c>
      <c r="P22" s="28" t="s">
        <v>64</v>
      </c>
      <c r="Q22" s="28">
        <v>8</v>
      </c>
      <c r="R22" s="29">
        <v>46675</v>
      </c>
      <c r="S22" s="45">
        <v>872</v>
      </c>
      <c r="T22" s="46">
        <v>101.96960249019995</v>
      </c>
      <c r="U22" s="47">
        <v>9.3509166666666657E-2</v>
      </c>
      <c r="V22" s="46">
        <v>102.28906904120396</v>
      </c>
      <c r="W22" s="47">
        <v>9.2009166666666656E-2</v>
      </c>
      <c r="X22" s="48">
        <v>0.31946655100401244</v>
      </c>
      <c r="Y22" s="35">
        <f t="shared" si="0"/>
        <v>9.2759166666666656E-2</v>
      </c>
    </row>
    <row r="23" spans="1:25" x14ac:dyDescent="0.3">
      <c r="A23" s="161"/>
      <c r="B23" s="122" t="s">
        <v>80</v>
      </c>
      <c r="C23" s="127">
        <v>47618</v>
      </c>
      <c r="D23" s="110">
        <f t="shared" si="8"/>
        <v>0.11</v>
      </c>
      <c r="E23" s="110">
        <f>Y38</f>
        <v>0.1021625</v>
      </c>
      <c r="F23" s="104">
        <f t="shared" si="9"/>
        <v>102.98858032345774</v>
      </c>
      <c r="G23" s="115">
        <f t="shared" si="10"/>
        <v>3.7707697677340328</v>
      </c>
      <c r="H23" s="110">
        <v>0</v>
      </c>
      <c r="I23" s="133">
        <f t="shared" ref="I23:I46" si="11">($G$17+769559.51)*H23</f>
        <v>0</v>
      </c>
      <c r="J23" s="104">
        <f t="shared" ref="J23:J46" si="12">PRICE($C$3,C23,D23,E23+$F$3,100,2,1)</f>
        <v>102.98858032345774</v>
      </c>
      <c r="K23" s="133">
        <f t="shared" ref="K23:K45" si="13">I23/F23*J23</f>
        <v>0</v>
      </c>
      <c r="P23" s="28" t="s">
        <v>65</v>
      </c>
      <c r="Q23" s="28">
        <v>10</v>
      </c>
      <c r="R23" s="29">
        <v>46736</v>
      </c>
      <c r="S23" s="45">
        <v>933</v>
      </c>
      <c r="T23" s="46">
        <v>104.15504287297834</v>
      </c>
      <c r="U23" s="47">
        <v>9.377771428571427E-2</v>
      </c>
      <c r="V23" s="46">
        <v>104.82736839551804</v>
      </c>
      <c r="W23" s="47">
        <v>9.0849142857142851E-2</v>
      </c>
      <c r="X23" s="48">
        <v>0.67232552253969402</v>
      </c>
      <c r="Y23" s="35">
        <f t="shared" si="0"/>
        <v>9.231342857142856E-2</v>
      </c>
    </row>
    <row r="24" spans="1:25" x14ac:dyDescent="0.3">
      <c r="A24" s="161"/>
      <c r="B24" s="122" t="s">
        <v>82</v>
      </c>
      <c r="C24" s="127">
        <v>47922</v>
      </c>
      <c r="D24" s="110">
        <f t="shared" si="8"/>
        <v>0.1125</v>
      </c>
      <c r="E24" s="110">
        <f t="shared" ref="E24:E43" si="14">Y40</f>
        <v>0.10525000000000001</v>
      </c>
      <c r="F24" s="104">
        <f t="shared" si="9"/>
        <v>103.0561347072609</v>
      </c>
      <c r="G24" s="115">
        <f t="shared" si="10"/>
        <v>4.1327607311773997</v>
      </c>
      <c r="H24" s="110">
        <v>0</v>
      </c>
      <c r="I24" s="133">
        <f t="shared" si="11"/>
        <v>0</v>
      </c>
      <c r="J24" s="104">
        <f t="shared" si="12"/>
        <v>103.0561347072609</v>
      </c>
      <c r="K24" s="133">
        <f t="shared" si="13"/>
        <v>0</v>
      </c>
      <c r="P24" s="28" t="s">
        <v>66</v>
      </c>
      <c r="Q24" s="28">
        <v>3</v>
      </c>
      <c r="R24" s="29">
        <v>46798</v>
      </c>
      <c r="S24" s="45">
        <v>995</v>
      </c>
      <c r="T24" s="46">
        <v>102.76927417593416</v>
      </c>
      <c r="U24" s="47">
        <v>9.5580222222222219E-2</v>
      </c>
      <c r="V24" s="46">
        <v>103.00903533804538</v>
      </c>
      <c r="W24" s="47">
        <v>9.4580222222222218E-2</v>
      </c>
      <c r="X24" s="48">
        <v>0.23976116211122189</v>
      </c>
      <c r="Y24" s="35">
        <f t="shared" si="0"/>
        <v>9.5080222222222219E-2</v>
      </c>
    </row>
    <row r="25" spans="1:25" x14ac:dyDescent="0.3">
      <c r="A25" s="161"/>
      <c r="B25" s="122" t="s">
        <v>83</v>
      </c>
      <c r="C25" s="127">
        <v>47983</v>
      </c>
      <c r="D25" s="110">
        <f t="shared" si="8"/>
        <v>0.18</v>
      </c>
      <c r="E25" s="110">
        <f t="shared" si="14"/>
        <v>0.10558333333333333</v>
      </c>
      <c r="F25" s="104">
        <f t="shared" si="9"/>
        <v>132.33551210097392</v>
      </c>
      <c r="G25" s="115">
        <f t="shared" si="10"/>
        <v>3.9507277930698557</v>
      </c>
      <c r="H25" s="110">
        <v>0.11907518474972459</v>
      </c>
      <c r="I25" s="133">
        <f t="shared" si="11"/>
        <v>8073611.6983631207</v>
      </c>
      <c r="J25" s="104">
        <f t="shared" si="12"/>
        <v>132.33551210097392</v>
      </c>
      <c r="K25" s="133">
        <f t="shared" si="13"/>
        <v>8073611.6983631207</v>
      </c>
      <c r="P25" s="28" t="s">
        <v>67</v>
      </c>
      <c r="Q25" s="28">
        <v>10</v>
      </c>
      <c r="R25" s="29">
        <v>46827</v>
      </c>
      <c r="S25" s="45">
        <v>1024</v>
      </c>
      <c r="T25" s="46">
        <v>102.70584407995972</v>
      </c>
      <c r="U25" s="47">
        <v>9.6138874999999985E-2</v>
      </c>
      <c r="V25" s="46">
        <v>103.16703112516041</v>
      </c>
      <c r="W25" s="47">
        <v>9.4263874999999983E-2</v>
      </c>
      <c r="X25" s="48">
        <v>0.46118704520068832</v>
      </c>
      <c r="Y25" s="35">
        <f t="shared" si="0"/>
        <v>9.5201374999999977E-2</v>
      </c>
    </row>
    <row r="26" spans="1:25" x14ac:dyDescent="0.3">
      <c r="A26" s="161"/>
      <c r="B26" s="122" t="s">
        <v>84</v>
      </c>
      <c r="C26" s="127">
        <v>48183</v>
      </c>
      <c r="D26" s="110">
        <f t="shared" si="8"/>
        <v>0.12</v>
      </c>
      <c r="E26" s="110">
        <f t="shared" si="14"/>
        <v>0.10607142857142857</v>
      </c>
      <c r="F26" s="104">
        <f t="shared" si="9"/>
        <v>106.43044629439264</v>
      </c>
      <c r="G26" s="115">
        <f t="shared" si="10"/>
        <v>4.2885167643031972</v>
      </c>
      <c r="H26" s="110">
        <v>3.5730634407456836E-2</v>
      </c>
      <c r="I26" s="133">
        <f t="shared" si="11"/>
        <v>2422631.2858409951</v>
      </c>
      <c r="J26" s="104">
        <f t="shared" si="12"/>
        <v>106.43044629439264</v>
      </c>
      <c r="K26" s="133">
        <f t="shared" si="13"/>
        <v>2422631.2858409951</v>
      </c>
      <c r="P26" s="28" t="s">
        <v>68</v>
      </c>
      <c r="Q26" s="28">
        <v>15</v>
      </c>
      <c r="R26" s="29">
        <v>46874</v>
      </c>
      <c r="S26" s="45">
        <v>1071</v>
      </c>
      <c r="T26" s="46">
        <v>98.314918817322138</v>
      </c>
      <c r="U26" s="47">
        <v>9.668750000000001E-2</v>
      </c>
      <c r="V26" s="46">
        <v>98.780567091144121</v>
      </c>
      <c r="W26" s="47">
        <v>9.4812500000000008E-2</v>
      </c>
      <c r="X26" s="48">
        <v>0.46564827382198359</v>
      </c>
      <c r="Y26" s="35">
        <f t="shared" si="0"/>
        <v>9.5750000000000002E-2</v>
      </c>
    </row>
    <row r="27" spans="1:25" x14ac:dyDescent="0.3">
      <c r="A27" s="161"/>
      <c r="B27" s="122" t="s">
        <v>85</v>
      </c>
      <c r="C27" s="127">
        <v>48214</v>
      </c>
      <c r="D27" s="110">
        <f t="shared" si="8"/>
        <v>0.08</v>
      </c>
      <c r="E27" s="110">
        <f t="shared" si="14"/>
        <v>0.10780000000000001</v>
      </c>
      <c r="F27" s="104">
        <f t="shared" si="9"/>
        <v>87.091994269883429</v>
      </c>
      <c r="G27" s="115">
        <f t="shared" si="10"/>
        <v>4.7071892869577647</v>
      </c>
      <c r="H27" s="110">
        <v>3.8727979889591119E-2</v>
      </c>
      <c r="I27" s="133">
        <f t="shared" si="11"/>
        <v>2625859.2178358785</v>
      </c>
      <c r="J27" s="104">
        <f t="shared" si="12"/>
        <v>87.091994269883429</v>
      </c>
      <c r="K27" s="133">
        <f t="shared" si="13"/>
        <v>2625859.2178358785</v>
      </c>
      <c r="P27" s="28" t="s">
        <v>69</v>
      </c>
      <c r="Q27" s="28">
        <v>15</v>
      </c>
      <c r="R27" s="29">
        <v>46935</v>
      </c>
      <c r="S27" s="45">
        <v>1132</v>
      </c>
      <c r="T27" s="46">
        <v>98.137243885018876</v>
      </c>
      <c r="U27" s="47">
        <v>9.7037499999999985E-2</v>
      </c>
      <c r="V27" s="46">
        <v>98.618600758574743</v>
      </c>
      <c r="W27" s="47">
        <v>9.518749999999998E-2</v>
      </c>
      <c r="X27" s="48">
        <v>0.48135687355586754</v>
      </c>
      <c r="Y27" s="35">
        <f t="shared" si="0"/>
        <v>9.611249999999999E-2</v>
      </c>
    </row>
    <row r="28" spans="1:25" x14ac:dyDescent="0.3">
      <c r="A28" s="161"/>
      <c r="B28" s="122" t="s">
        <v>86</v>
      </c>
      <c r="C28" s="127">
        <v>48396</v>
      </c>
      <c r="D28" s="110">
        <f t="shared" si="8"/>
        <v>0.18</v>
      </c>
      <c r="E28" s="110">
        <f t="shared" si="14"/>
        <v>0.10754166666666667</v>
      </c>
      <c r="F28" s="104">
        <f t="shared" si="9"/>
        <v>135.3104085007399</v>
      </c>
      <c r="G28" s="115">
        <f t="shared" si="10"/>
        <v>4.217597621687033</v>
      </c>
      <c r="H28" s="110">
        <v>3.522290940809765E-2</v>
      </c>
      <c r="I28" s="133">
        <f t="shared" si="11"/>
        <v>2388206.1912841946</v>
      </c>
      <c r="J28" s="104">
        <f t="shared" si="12"/>
        <v>135.3104085007399</v>
      </c>
      <c r="K28" s="133">
        <f t="shared" si="13"/>
        <v>2388206.1912841946</v>
      </c>
      <c r="P28" s="28" t="s">
        <v>70</v>
      </c>
      <c r="Q28" s="28">
        <v>13</v>
      </c>
      <c r="R28" s="29">
        <v>46997</v>
      </c>
      <c r="S28" s="45">
        <v>1194</v>
      </c>
      <c r="T28" s="46">
        <v>104.74501418413843</v>
      </c>
      <c r="U28" s="47">
        <v>9.7562499999999996E-2</v>
      </c>
      <c r="V28" s="46">
        <v>105.25883932780528</v>
      </c>
      <c r="W28" s="47">
        <v>9.5749999999999988E-2</v>
      </c>
      <c r="X28" s="48">
        <v>0.51382514366684973</v>
      </c>
      <c r="Y28" s="35">
        <f t="shared" si="0"/>
        <v>9.6656249999999999E-2</v>
      </c>
    </row>
    <row r="29" spans="1:25" x14ac:dyDescent="0.3">
      <c r="A29" s="161"/>
      <c r="B29" s="122" t="s">
        <v>87</v>
      </c>
      <c r="C29" s="127">
        <v>48488</v>
      </c>
      <c r="D29" s="110">
        <f t="shared" si="8"/>
        <v>0.09</v>
      </c>
      <c r="E29" s="110">
        <f t="shared" si="14"/>
        <v>0.10783333333333334</v>
      </c>
      <c r="F29" s="104">
        <f t="shared" si="9"/>
        <v>91.079958246851291</v>
      </c>
      <c r="G29" s="115">
        <f t="shared" si="10"/>
        <v>5.0829602654494845</v>
      </c>
      <c r="H29" s="110">
        <v>4.1418189452083989E-2</v>
      </c>
      <c r="I29" s="133">
        <f t="shared" si="11"/>
        <v>2808262.5241204062</v>
      </c>
      <c r="J29" s="104">
        <f t="shared" si="12"/>
        <v>91.079958246851291</v>
      </c>
      <c r="K29" s="133">
        <f t="shared" si="13"/>
        <v>2808262.5241204062</v>
      </c>
      <c r="P29" s="28" t="s">
        <v>71</v>
      </c>
      <c r="Q29" s="28">
        <v>4</v>
      </c>
      <c r="R29" s="29">
        <v>47041</v>
      </c>
      <c r="S29" s="45">
        <v>1238</v>
      </c>
      <c r="T29" s="46">
        <v>103.29512679699629</v>
      </c>
      <c r="U29" s="47">
        <v>9.824999999999999E-2</v>
      </c>
      <c r="V29" s="46">
        <v>103.6384005964938</v>
      </c>
      <c r="W29" s="47">
        <v>9.7062499999999996E-2</v>
      </c>
      <c r="X29" s="48">
        <v>0.34327379949750991</v>
      </c>
      <c r="Y29" s="35">
        <f t="shared" si="0"/>
        <v>9.765625E-2</v>
      </c>
    </row>
    <row r="30" spans="1:25" x14ac:dyDescent="0.3">
      <c r="A30" s="161"/>
      <c r="B30" s="122" t="s">
        <v>88</v>
      </c>
      <c r="C30" s="127">
        <v>48563</v>
      </c>
      <c r="D30" s="110">
        <f t="shared" si="8"/>
        <v>0.115</v>
      </c>
      <c r="E30" s="110">
        <f t="shared" si="14"/>
        <v>0.10787500000000001</v>
      </c>
      <c r="F30" s="104">
        <f t="shared" si="9"/>
        <v>103.60368861080418</v>
      </c>
      <c r="G30" s="115">
        <f t="shared" si="10"/>
        <v>4.7841446703011083</v>
      </c>
      <c r="H30" s="110">
        <v>3.927891966728464E-2</v>
      </c>
      <c r="I30" s="133">
        <f t="shared" si="11"/>
        <v>2663214.3883832018</v>
      </c>
      <c r="J30" s="104">
        <f t="shared" si="12"/>
        <v>103.60368861080418</v>
      </c>
      <c r="K30" s="133">
        <f t="shared" si="13"/>
        <v>2663214.3883832018</v>
      </c>
      <c r="P30" s="28" t="s">
        <v>72</v>
      </c>
      <c r="Q30" s="28">
        <v>5</v>
      </c>
      <c r="R30" s="29">
        <v>47102</v>
      </c>
      <c r="S30" s="45">
        <v>1299</v>
      </c>
      <c r="T30" s="46">
        <v>104.79833529399762</v>
      </c>
      <c r="U30" s="47">
        <v>9.8625000000000004E-2</v>
      </c>
      <c r="V30" s="46">
        <v>105.17774808470426</v>
      </c>
      <c r="W30" s="47">
        <v>9.7375000000000017E-2</v>
      </c>
      <c r="X30" s="48">
        <v>0.37941279070663825</v>
      </c>
      <c r="Y30" s="35">
        <f t="shared" si="0"/>
        <v>9.8000000000000004E-2</v>
      </c>
    </row>
    <row r="31" spans="1:25" x14ac:dyDescent="0.3">
      <c r="A31" s="161"/>
      <c r="B31" s="122" t="s">
        <v>89</v>
      </c>
      <c r="C31" s="127">
        <v>48594</v>
      </c>
      <c r="D31" s="110">
        <f t="shared" si="8"/>
        <v>0.11199999999999999</v>
      </c>
      <c r="E31" s="110">
        <f t="shared" si="14"/>
        <v>0.109</v>
      </c>
      <c r="F31" s="104">
        <f t="shared" si="9"/>
        <v>101.49889799612923</v>
      </c>
      <c r="G31" s="115">
        <f t="shared" si="10"/>
        <v>4.8791483211585147</v>
      </c>
      <c r="H31" s="110">
        <v>3.9959066818797302E-2</v>
      </c>
      <c r="I31" s="133">
        <f t="shared" si="11"/>
        <v>2709330.1597809335</v>
      </c>
      <c r="J31" s="104">
        <f t="shared" si="12"/>
        <v>101.49889799612923</v>
      </c>
      <c r="K31" s="133">
        <f t="shared" si="13"/>
        <v>2709330.1597809335</v>
      </c>
      <c r="P31" s="28" t="s">
        <v>73</v>
      </c>
      <c r="Q31" s="28">
        <v>15</v>
      </c>
      <c r="R31" s="29">
        <v>47119</v>
      </c>
      <c r="S31" s="45">
        <v>1316</v>
      </c>
      <c r="T31" s="46">
        <v>108.76624748627988</v>
      </c>
      <c r="U31" s="47">
        <v>0.10029999999999999</v>
      </c>
      <c r="V31" s="46">
        <v>109.14214488803223</v>
      </c>
      <c r="W31" s="47">
        <v>9.9100000000000008E-2</v>
      </c>
      <c r="X31" s="48">
        <v>0.3758974017523542</v>
      </c>
      <c r="Y31" s="35">
        <f t="shared" si="0"/>
        <v>9.9699999999999997E-2</v>
      </c>
    </row>
    <row r="32" spans="1:25" x14ac:dyDescent="0.3">
      <c r="A32" s="161"/>
      <c r="B32" s="122" t="s">
        <v>90</v>
      </c>
      <c r="C32" s="127">
        <v>48731</v>
      </c>
      <c r="D32" s="110">
        <f t="shared" si="8"/>
        <v>0.09</v>
      </c>
      <c r="E32" s="110">
        <f t="shared" si="14"/>
        <v>0.10915</v>
      </c>
      <c r="F32" s="104">
        <f t="shared" si="9"/>
        <v>89.935681729287296</v>
      </c>
      <c r="G32" s="115">
        <f t="shared" si="10"/>
        <v>5.1980117415422713</v>
      </c>
      <c r="H32" s="110">
        <v>4.2241864697465763E-2</v>
      </c>
      <c r="I32" s="133">
        <f t="shared" si="11"/>
        <v>2864109.8789722472</v>
      </c>
      <c r="J32" s="104">
        <f t="shared" si="12"/>
        <v>89.935681729287296</v>
      </c>
      <c r="K32" s="133">
        <f t="shared" si="13"/>
        <v>2864109.8789722472</v>
      </c>
      <c r="P32" s="51" t="s">
        <v>74</v>
      </c>
      <c r="Q32" s="51">
        <v>15</v>
      </c>
      <c r="R32" s="52">
        <v>47239</v>
      </c>
      <c r="S32" s="53">
        <v>1436</v>
      </c>
      <c r="T32" s="54">
        <v>109.06951179279014</v>
      </c>
      <c r="U32" s="55">
        <v>0.1014</v>
      </c>
      <c r="V32" s="54">
        <v>109.47370866587609</v>
      </c>
      <c r="W32" s="55">
        <v>0.1002</v>
      </c>
      <c r="X32" s="56">
        <v>0.40419687308595087</v>
      </c>
      <c r="Y32" s="35">
        <f t="shared" si="0"/>
        <v>0.1008</v>
      </c>
    </row>
    <row r="33" spans="1:28" x14ac:dyDescent="0.3">
      <c r="A33" s="161"/>
      <c r="B33" s="122" t="s">
        <v>91</v>
      </c>
      <c r="C33" s="127">
        <v>48761</v>
      </c>
      <c r="D33" s="110">
        <f t="shared" si="8"/>
        <v>0.13250000000000001</v>
      </c>
      <c r="E33" s="110">
        <f t="shared" si="14"/>
        <v>0.1094125</v>
      </c>
      <c r="F33" s="104">
        <f t="shared" si="9"/>
        <v>112.16867054555958</v>
      </c>
      <c r="G33" s="115">
        <f t="shared" si="10"/>
        <v>4.8660245674012828</v>
      </c>
      <c r="H33" s="130">
        <v>3.9865109922984358E-2</v>
      </c>
      <c r="I33" s="133">
        <f t="shared" si="11"/>
        <v>2702959.6343454984</v>
      </c>
      <c r="J33" s="104">
        <f t="shared" si="12"/>
        <v>112.16867054555958</v>
      </c>
      <c r="K33" s="133">
        <f t="shared" si="13"/>
        <v>2702959.6343454984</v>
      </c>
      <c r="P33" s="64" t="s">
        <v>75</v>
      </c>
      <c r="Q33" s="64">
        <v>5</v>
      </c>
      <c r="R33" s="65">
        <v>47284</v>
      </c>
      <c r="S33" s="66">
        <v>1481</v>
      </c>
      <c r="T33" s="32">
        <v>105.47910630304359</v>
      </c>
      <c r="U33" s="67">
        <v>0.10066666666666665</v>
      </c>
      <c r="V33" s="32">
        <v>105.83632401348663</v>
      </c>
      <c r="W33" s="67">
        <v>9.9611111111111109E-2</v>
      </c>
      <c r="X33" s="63">
        <v>0.35721771044303807</v>
      </c>
      <c r="Y33" s="22">
        <f t="shared" si="0"/>
        <v>0.10013888888888889</v>
      </c>
    </row>
    <row r="34" spans="1:28" x14ac:dyDescent="0.3">
      <c r="A34" s="161"/>
      <c r="B34" s="122" t="s">
        <v>92</v>
      </c>
      <c r="C34" s="127">
        <v>48884</v>
      </c>
      <c r="D34" s="110">
        <f t="shared" si="8"/>
        <v>0.09</v>
      </c>
      <c r="E34" s="110">
        <f t="shared" si="14"/>
        <v>0.108921875</v>
      </c>
      <c r="F34" s="104">
        <f t="shared" si="9"/>
        <v>89.717405812876606</v>
      </c>
      <c r="G34" s="115">
        <f t="shared" si="10"/>
        <v>5.5944277912406033</v>
      </c>
      <c r="H34" s="110">
        <v>4.5079872966648352E-2</v>
      </c>
      <c r="I34" s="133">
        <f t="shared" si="11"/>
        <v>3056534.327527863</v>
      </c>
      <c r="J34" s="104">
        <f t="shared" si="12"/>
        <v>89.717405812876606</v>
      </c>
      <c r="K34" s="133">
        <f t="shared" si="13"/>
        <v>3056534.327527863</v>
      </c>
      <c r="P34" s="57" t="s">
        <v>76</v>
      </c>
      <c r="Q34" s="57">
        <v>7</v>
      </c>
      <c r="R34" s="58">
        <v>47314</v>
      </c>
      <c r="S34" s="59">
        <v>1511</v>
      </c>
      <c r="T34" s="60">
        <v>132.46384319282032</v>
      </c>
      <c r="U34" s="61">
        <v>0.101772</v>
      </c>
      <c r="V34" s="60">
        <v>132.94530024917714</v>
      </c>
      <c r="W34" s="61">
        <v>0.10056799999999999</v>
      </c>
      <c r="X34" s="62">
        <v>0.48145705635681679</v>
      </c>
      <c r="Y34" s="35">
        <f t="shared" si="0"/>
        <v>0.10117</v>
      </c>
    </row>
    <row r="35" spans="1:28" ht="17.399999999999999" customHeight="1" x14ac:dyDescent="0.3">
      <c r="A35" s="161"/>
      <c r="B35" s="122" t="s">
        <v>93</v>
      </c>
      <c r="C35" s="127">
        <v>48945</v>
      </c>
      <c r="D35" s="110">
        <f t="shared" si="8"/>
        <v>0.13250000000000001</v>
      </c>
      <c r="E35" s="110">
        <f t="shared" si="14"/>
        <v>0.1143875</v>
      </c>
      <c r="F35" s="104">
        <f t="shared" si="9"/>
        <v>109.72111954772576</v>
      </c>
      <c r="G35" s="115">
        <f t="shared" si="10"/>
        <v>4.9930770400406441</v>
      </c>
      <c r="H35" s="110">
        <v>4.0774704969256975E-2</v>
      </c>
      <c r="I35" s="133">
        <f t="shared" si="11"/>
        <v>2764632.5783916903</v>
      </c>
      <c r="J35" s="104">
        <f t="shared" si="12"/>
        <v>109.72111954772576</v>
      </c>
      <c r="K35" s="133">
        <f t="shared" si="13"/>
        <v>2764632.5783916903</v>
      </c>
      <c r="P35" s="28" t="s">
        <v>77</v>
      </c>
      <c r="Q35" s="28">
        <v>7</v>
      </c>
      <c r="R35" s="29">
        <v>47376</v>
      </c>
      <c r="S35" s="45">
        <v>1573</v>
      </c>
      <c r="T35" s="46">
        <v>102.99830523063694</v>
      </c>
      <c r="U35" s="47">
        <v>0.101142</v>
      </c>
      <c r="V35" s="46">
        <v>103.35639604575459</v>
      </c>
      <c r="W35" s="47">
        <v>0.10011800000000001</v>
      </c>
      <c r="X35" s="48">
        <v>0.35809081511764873</v>
      </c>
      <c r="Y35" s="35">
        <f t="shared" si="0"/>
        <v>0.10063</v>
      </c>
    </row>
    <row r="36" spans="1:28" x14ac:dyDescent="0.3">
      <c r="A36" s="161"/>
      <c r="B36" s="122" t="s">
        <v>94</v>
      </c>
      <c r="C36" s="127">
        <v>49202</v>
      </c>
      <c r="D36" s="110">
        <f t="shared" si="8"/>
        <v>0.10249999999999999</v>
      </c>
      <c r="E36" s="110">
        <f t="shared" si="14"/>
        <v>0.11292857142857143</v>
      </c>
      <c r="F36" s="104">
        <f t="shared" si="9"/>
        <v>94.05475616866913</v>
      </c>
      <c r="G36" s="115">
        <f t="shared" si="10"/>
        <v>5.6640149450058157</v>
      </c>
      <c r="H36" s="110">
        <v>4.5578059922665559E-2</v>
      </c>
      <c r="I36" s="133">
        <f t="shared" si="11"/>
        <v>3090312.7175805541</v>
      </c>
      <c r="J36" s="104">
        <f t="shared" si="12"/>
        <v>94.05475616866913</v>
      </c>
      <c r="K36" s="133">
        <f t="shared" si="13"/>
        <v>3090312.7175805545</v>
      </c>
      <c r="P36" s="28" t="s">
        <v>78</v>
      </c>
      <c r="Q36" s="28">
        <v>4</v>
      </c>
      <c r="R36" s="29">
        <v>47406</v>
      </c>
      <c r="S36" s="45">
        <v>1603</v>
      </c>
      <c r="T36" s="46">
        <v>100.72568748093668</v>
      </c>
      <c r="U36" s="47">
        <v>0.10134666666666665</v>
      </c>
      <c r="V36" s="46">
        <v>101.10830748306054</v>
      </c>
      <c r="W36" s="47">
        <v>0.10025333333333335</v>
      </c>
      <c r="X36" s="48">
        <v>0.38262000212385772</v>
      </c>
      <c r="Y36" s="35">
        <f t="shared" si="0"/>
        <v>0.1008</v>
      </c>
    </row>
    <row r="37" spans="1:28" x14ac:dyDescent="0.3">
      <c r="A37" s="161"/>
      <c r="B37" s="122" t="s">
        <v>95</v>
      </c>
      <c r="C37" s="127">
        <v>49383</v>
      </c>
      <c r="D37" s="130">
        <f t="shared" si="8"/>
        <v>0.115</v>
      </c>
      <c r="E37" s="130">
        <f t="shared" si="14"/>
        <v>0.112875</v>
      </c>
      <c r="F37" s="104">
        <f t="shared" si="9"/>
        <v>101.20356697557062</v>
      </c>
      <c r="G37" s="115">
        <f t="shared" si="10"/>
        <v>5.6972881250647829</v>
      </c>
      <c r="H37" s="110">
        <v>4.5816268629308418E-2</v>
      </c>
      <c r="I37" s="133">
        <f t="shared" si="11"/>
        <v>3106463.8963895226</v>
      </c>
      <c r="J37" s="104">
        <f t="shared" si="12"/>
        <v>101.20356697557062</v>
      </c>
      <c r="K37" s="133">
        <f t="shared" si="13"/>
        <v>3106463.8963895226</v>
      </c>
      <c r="P37" s="28" t="s">
        <v>79</v>
      </c>
      <c r="Q37" s="28">
        <v>5</v>
      </c>
      <c r="R37" s="29">
        <v>47467</v>
      </c>
      <c r="S37" s="45">
        <v>1664</v>
      </c>
      <c r="T37" s="46">
        <v>102.9380941661787</v>
      </c>
      <c r="U37" s="47">
        <v>0.10174250000000001</v>
      </c>
      <c r="V37" s="46">
        <v>103.35249966516071</v>
      </c>
      <c r="W37" s="47">
        <v>0.10060750000000002</v>
      </c>
      <c r="X37" s="48">
        <v>0.41440549898200629</v>
      </c>
      <c r="Y37" s="35">
        <f t="shared" si="0"/>
        <v>0.10117500000000001</v>
      </c>
    </row>
    <row r="38" spans="1:28" x14ac:dyDescent="0.3">
      <c r="A38" s="161"/>
      <c r="B38" s="122" t="s">
        <v>96</v>
      </c>
      <c r="C38" s="127">
        <v>50997</v>
      </c>
      <c r="D38" s="110">
        <f t="shared" si="8"/>
        <v>0.105</v>
      </c>
      <c r="E38" s="110">
        <f t="shared" si="14"/>
        <v>0.1159125</v>
      </c>
      <c r="F38" s="104">
        <f t="shared" si="9"/>
        <v>92.444580203105502</v>
      </c>
      <c r="G38" s="115">
        <f t="shared" si="10"/>
        <v>6.8166719447355266</v>
      </c>
      <c r="H38" s="110">
        <v>5.3830129914233797E-2</v>
      </c>
      <c r="I38" s="133">
        <f t="shared" si="11"/>
        <v>3649824.8355728015</v>
      </c>
      <c r="J38" s="104">
        <f t="shared" si="12"/>
        <v>92.444580203105502</v>
      </c>
      <c r="K38" s="133">
        <f t="shared" si="13"/>
        <v>3649824.8355728015</v>
      </c>
      <c r="P38" s="28" t="s">
        <v>80</v>
      </c>
      <c r="Q38" s="28">
        <v>15</v>
      </c>
      <c r="R38" s="29">
        <v>47618</v>
      </c>
      <c r="S38" s="45">
        <v>1815</v>
      </c>
      <c r="T38" s="46">
        <v>102.74059851229134</v>
      </c>
      <c r="U38" s="47">
        <v>0.1028</v>
      </c>
      <c r="V38" s="46">
        <v>103.23732163168759</v>
      </c>
      <c r="W38" s="47">
        <v>0.101525</v>
      </c>
      <c r="X38" s="48">
        <v>0.49672311939625047</v>
      </c>
      <c r="Y38" s="35">
        <f t="shared" si="0"/>
        <v>0.1021625</v>
      </c>
      <c r="Z38" s="34"/>
      <c r="AA38" s="33"/>
      <c r="AB38" s="34"/>
    </row>
    <row r="39" spans="1:28" x14ac:dyDescent="0.3">
      <c r="A39" s="161"/>
      <c r="B39" s="122" t="s">
        <v>97</v>
      </c>
      <c r="C39" s="127">
        <v>51502</v>
      </c>
      <c r="D39" s="110">
        <f t="shared" si="8"/>
        <v>0.12</v>
      </c>
      <c r="E39" s="110">
        <f t="shared" si="14"/>
        <v>0.11146875000000001</v>
      </c>
      <c r="F39" s="104">
        <f t="shared" si="9"/>
        <v>106.21820051458658</v>
      </c>
      <c r="G39" s="115">
        <f t="shared" si="10"/>
        <v>6.9115435991793541</v>
      </c>
      <c r="H39" s="110">
        <v>5.4509331454434436E-2</v>
      </c>
      <c r="I39" s="133">
        <f t="shared" si="11"/>
        <v>3695876.4920286429</v>
      </c>
      <c r="J39" s="104">
        <f t="shared" si="12"/>
        <v>106.21820051458658</v>
      </c>
      <c r="K39" s="133">
        <f t="shared" si="13"/>
        <v>3695876.4920286429</v>
      </c>
      <c r="P39" s="28" t="s">
        <v>81</v>
      </c>
      <c r="Q39" s="28">
        <v>6</v>
      </c>
      <c r="R39" s="29">
        <v>47771</v>
      </c>
      <c r="S39" s="45">
        <v>1968</v>
      </c>
      <c r="T39" s="46">
        <v>102.58639739124422</v>
      </c>
      <c r="U39" s="47">
        <v>0.10355714285714283</v>
      </c>
      <c r="V39" s="46">
        <v>103.07947592147114</v>
      </c>
      <c r="W39" s="47">
        <v>0.1023642857142857</v>
      </c>
      <c r="X39" s="48">
        <v>0.49307853022692427</v>
      </c>
      <c r="Y39" s="35">
        <f t="shared" si="0"/>
        <v>0.10296071428571427</v>
      </c>
    </row>
    <row r="40" spans="1:28" x14ac:dyDescent="0.3">
      <c r="A40" s="161"/>
      <c r="B40" s="122" t="s">
        <v>98</v>
      </c>
      <c r="C40" s="127">
        <v>52383</v>
      </c>
      <c r="D40" s="110">
        <f t="shared" si="8"/>
        <v>0.09</v>
      </c>
      <c r="E40" s="110">
        <f t="shared" si="14"/>
        <v>0.112984375</v>
      </c>
      <c r="F40" s="104">
        <f t="shared" si="9"/>
        <v>82.461340957926637</v>
      </c>
      <c r="G40" s="115">
        <f t="shared" si="10"/>
        <v>7.5521496724964479</v>
      </c>
      <c r="H40" s="110">
        <v>5.9972072374970181E-2</v>
      </c>
      <c r="I40" s="133">
        <f t="shared" si="11"/>
        <v>4066264.7395368316</v>
      </c>
      <c r="J40" s="104">
        <f t="shared" si="12"/>
        <v>82.461340957926637</v>
      </c>
      <c r="K40" s="133">
        <f t="shared" si="13"/>
        <v>4066264.7395368316</v>
      </c>
      <c r="P40" s="28" t="s">
        <v>82</v>
      </c>
      <c r="Q40" s="28">
        <v>12</v>
      </c>
      <c r="R40" s="29">
        <v>47922</v>
      </c>
      <c r="S40" s="45">
        <v>2119</v>
      </c>
      <c r="T40" s="46">
        <v>102.7847177622655</v>
      </c>
      <c r="U40" s="47">
        <v>0.105875</v>
      </c>
      <c r="V40" s="46">
        <v>103.32847258134242</v>
      </c>
      <c r="W40" s="47">
        <v>0.10462500000000001</v>
      </c>
      <c r="X40" s="48">
        <v>0.54375481907692347</v>
      </c>
      <c r="Y40" s="35">
        <f t="shared" si="0"/>
        <v>0.10525000000000001</v>
      </c>
    </row>
    <row r="41" spans="1:28" x14ac:dyDescent="0.3">
      <c r="A41" s="161"/>
      <c r="B41" s="122" t="s">
        <v>99</v>
      </c>
      <c r="C41" s="127">
        <v>52597</v>
      </c>
      <c r="D41" s="110">
        <f t="shared" si="8"/>
        <v>0.13500000000000001</v>
      </c>
      <c r="E41" s="110">
        <f t="shared" si="14"/>
        <v>0.1131875</v>
      </c>
      <c r="F41" s="104">
        <f t="shared" si="9"/>
        <v>116.75504981254551</v>
      </c>
      <c r="G41" s="115">
        <f t="shared" si="10"/>
        <v>7.1567528905065672</v>
      </c>
      <c r="H41" s="110">
        <v>5.6264833018874104E-2</v>
      </c>
      <c r="I41" s="133">
        <f t="shared" si="11"/>
        <v>3814904.1298773228</v>
      </c>
      <c r="J41" s="104">
        <f t="shared" si="12"/>
        <v>116.75504981254551</v>
      </c>
      <c r="K41" s="133">
        <f t="shared" si="13"/>
        <v>3814904.1298773228</v>
      </c>
      <c r="P41" s="28" t="s">
        <v>83</v>
      </c>
      <c r="Q41" s="28">
        <v>9</v>
      </c>
      <c r="R41" s="29">
        <v>47983</v>
      </c>
      <c r="S41" s="45">
        <v>2180</v>
      </c>
      <c r="T41" s="46">
        <v>131.95348156760963</v>
      </c>
      <c r="U41" s="47">
        <v>0.10631249999999999</v>
      </c>
      <c r="V41" s="46">
        <v>132.71903186307776</v>
      </c>
      <c r="W41" s="47">
        <v>0.10485416666666668</v>
      </c>
      <c r="X41" s="48">
        <v>0.76555029546813103</v>
      </c>
      <c r="Y41" s="35">
        <f t="shared" si="0"/>
        <v>0.10558333333333333</v>
      </c>
    </row>
    <row r="42" spans="1:28" x14ac:dyDescent="0.3">
      <c r="A42" s="161"/>
      <c r="B42" s="122" t="s">
        <v>100</v>
      </c>
      <c r="C42" s="127">
        <v>52749</v>
      </c>
      <c r="D42" s="110">
        <f t="shared" si="8"/>
        <v>0.13500000000000001</v>
      </c>
      <c r="E42" s="110">
        <f t="shared" si="14"/>
        <v>0.113515625</v>
      </c>
      <c r="F42" s="104">
        <f t="shared" si="9"/>
        <v>116.60185863331992</v>
      </c>
      <c r="G42" s="115">
        <f t="shared" si="10"/>
        <v>7.1279064202740843</v>
      </c>
      <c r="H42" s="110">
        <v>5.6058314239340636E-2</v>
      </c>
      <c r="I42" s="133">
        <f t="shared" si="11"/>
        <v>3800901.6117382362</v>
      </c>
      <c r="J42" s="104">
        <f t="shared" si="12"/>
        <v>116.60185863331992</v>
      </c>
      <c r="K42" s="133">
        <f t="shared" si="13"/>
        <v>3800901.6117382362</v>
      </c>
      <c r="P42" s="28" t="s">
        <v>84</v>
      </c>
      <c r="Q42" s="28">
        <v>10</v>
      </c>
      <c r="R42" s="29">
        <v>48183</v>
      </c>
      <c r="S42" s="45">
        <v>2380</v>
      </c>
      <c r="T42" s="46">
        <v>106.10449682474872</v>
      </c>
      <c r="U42" s="47">
        <v>0.10675</v>
      </c>
      <c r="V42" s="46">
        <v>106.75770738382728</v>
      </c>
      <c r="W42" s="47">
        <v>0.10539285714285714</v>
      </c>
      <c r="X42" s="48">
        <v>0.65321055907855907</v>
      </c>
      <c r="Y42" s="35">
        <f t="shared" si="0"/>
        <v>0.10607142857142857</v>
      </c>
    </row>
    <row r="43" spans="1:28" x14ac:dyDescent="0.3">
      <c r="A43" s="161"/>
      <c r="B43" s="122" t="s">
        <v>101</v>
      </c>
      <c r="C43" s="127">
        <v>53022</v>
      </c>
      <c r="D43" s="110">
        <f t="shared" si="8"/>
        <v>0.125</v>
      </c>
      <c r="E43" s="110">
        <f t="shared" si="14"/>
        <v>0.11403125</v>
      </c>
      <c r="F43" s="104">
        <f t="shared" si="9"/>
        <v>108.5016499086274</v>
      </c>
      <c r="G43" s="115">
        <f t="shared" si="10"/>
        <v>7.4869768395336296</v>
      </c>
      <c r="H43" s="110">
        <v>5.8628957117228361E-2</v>
      </c>
      <c r="I43" s="133">
        <f t="shared" si="11"/>
        <v>3975197.9813374123</v>
      </c>
      <c r="J43" s="104">
        <f t="shared" si="12"/>
        <v>108.5016499086274</v>
      </c>
      <c r="K43" s="133">
        <f t="shared" si="13"/>
        <v>3975197.9813374123</v>
      </c>
      <c r="P43" s="28" t="s">
        <v>85</v>
      </c>
      <c r="Q43" s="28">
        <v>20</v>
      </c>
      <c r="R43" s="29">
        <v>48214</v>
      </c>
      <c r="S43" s="45">
        <v>2411</v>
      </c>
      <c r="T43" s="46">
        <v>86.742223207472421</v>
      </c>
      <c r="U43" s="47">
        <v>0.108625</v>
      </c>
      <c r="V43" s="46">
        <v>87.443546400336857</v>
      </c>
      <c r="W43" s="47">
        <v>0.106975</v>
      </c>
      <c r="X43" s="48">
        <v>0.7013231928644359</v>
      </c>
      <c r="Y43" s="35">
        <f t="shared" si="0"/>
        <v>0.10780000000000001</v>
      </c>
    </row>
    <row r="44" spans="1:28" x14ac:dyDescent="0.3">
      <c r="A44" s="162" t="s">
        <v>114</v>
      </c>
      <c r="B44" s="123" t="s">
        <v>102</v>
      </c>
      <c r="C44" s="128">
        <v>45895</v>
      </c>
      <c r="D44" s="110">
        <v>0</v>
      </c>
      <c r="E44" s="110">
        <f>V67</f>
        <v>7.513888888888888E-2</v>
      </c>
      <c r="F44" s="104">
        <f t="shared" ref="F44:F46" si="15">PRICE($C$3,C44,D44,E44,100,2,1)</f>
        <v>98.126175563931852</v>
      </c>
      <c r="G44" s="115">
        <f t="shared" ref="G44:G46" si="16">MDURATION($C$3,C44,D44,E44,2,1)</f>
        <v>0.24494133647595828</v>
      </c>
      <c r="H44" s="110">
        <v>1.7937698047974255E-2</v>
      </c>
      <c r="I44" s="133">
        <f t="shared" si="11"/>
        <v>1216223.2551326377</v>
      </c>
      <c r="J44" s="104">
        <f t="shared" si="12"/>
        <v>98.126175563931852</v>
      </c>
      <c r="K44" s="133">
        <f t="shared" si="13"/>
        <v>1216223.2551326377</v>
      </c>
      <c r="P44" s="28" t="s">
        <v>86</v>
      </c>
      <c r="Q44" s="28">
        <v>10</v>
      </c>
      <c r="R44" s="29">
        <v>48396</v>
      </c>
      <c r="S44" s="45">
        <v>2593</v>
      </c>
      <c r="T44" s="46">
        <v>134.8356877055499</v>
      </c>
      <c r="U44" s="47">
        <v>0.10833333333333334</v>
      </c>
      <c r="V44" s="46">
        <v>135.78742333790859</v>
      </c>
      <c r="W44" s="47">
        <v>0.10675000000000001</v>
      </c>
      <c r="X44" s="48">
        <v>0.95173563235869096</v>
      </c>
      <c r="Y44" s="35">
        <f t="shared" si="0"/>
        <v>0.10754166666666667</v>
      </c>
    </row>
    <row r="45" spans="1:28" x14ac:dyDescent="0.3">
      <c r="A45" s="163"/>
      <c r="B45" s="123" t="s">
        <v>103</v>
      </c>
      <c r="C45" s="128">
        <v>45987</v>
      </c>
      <c r="D45" s="110">
        <v>0</v>
      </c>
      <c r="E45" s="110">
        <f t="shared" ref="E45:E46" si="17">V68</f>
        <v>7.7277777777777779E-2</v>
      </c>
      <c r="F45" s="104">
        <f t="shared" si="15"/>
        <v>96.279853440667537</v>
      </c>
      <c r="G45" s="115">
        <f t="shared" si="16"/>
        <v>0.4813992672033377</v>
      </c>
      <c r="H45" s="110">
        <v>1.6793133705333151E-2</v>
      </c>
      <c r="I45" s="133">
        <f t="shared" si="11"/>
        <v>1138618.7728410587</v>
      </c>
      <c r="J45" s="104">
        <f t="shared" si="12"/>
        <v>96.279853440667537</v>
      </c>
      <c r="K45" s="133">
        <f t="shared" si="13"/>
        <v>1138618.7728410587</v>
      </c>
      <c r="P45" s="28" t="s">
        <v>87</v>
      </c>
      <c r="Q45" s="28">
        <v>20</v>
      </c>
      <c r="R45" s="29">
        <v>48488</v>
      </c>
      <c r="S45" s="45">
        <v>2685</v>
      </c>
      <c r="T45" s="46">
        <v>90.708988070188965</v>
      </c>
      <c r="U45" s="47">
        <v>0.10862500000000001</v>
      </c>
      <c r="V45" s="46">
        <v>91.452889927388426</v>
      </c>
      <c r="W45" s="47">
        <v>0.10704166666666666</v>
      </c>
      <c r="X45" s="48">
        <v>0.74390185719946089</v>
      </c>
      <c r="Y45" s="35">
        <f t="shared" si="0"/>
        <v>0.10783333333333334</v>
      </c>
    </row>
    <row r="46" spans="1:28" x14ac:dyDescent="0.3">
      <c r="A46" s="163"/>
      <c r="B46" s="124" t="s">
        <v>104</v>
      </c>
      <c r="C46" s="129">
        <v>46168</v>
      </c>
      <c r="D46" s="111">
        <v>0</v>
      </c>
      <c r="E46" s="111">
        <f t="shared" si="17"/>
        <v>8.1040000000000001E-2</v>
      </c>
      <c r="F46" s="105">
        <f t="shared" si="15"/>
        <v>92.363234975990423</v>
      </c>
      <c r="G46" s="116">
        <f t="shared" si="16"/>
        <v>0.96105793257217553</v>
      </c>
      <c r="H46" s="111">
        <v>1.4471366619669095E-2</v>
      </c>
      <c r="I46" s="133">
        <f t="shared" si="11"/>
        <v>981196.83859765925</v>
      </c>
      <c r="J46" s="105">
        <f t="shared" si="12"/>
        <v>92.363234975990423</v>
      </c>
      <c r="K46" s="133">
        <f>I46/F46*J46</f>
        <v>981196.83859765925</v>
      </c>
      <c r="P46" s="28" t="s">
        <v>88</v>
      </c>
      <c r="Q46" s="28">
        <v>8</v>
      </c>
      <c r="R46" s="29">
        <v>48563</v>
      </c>
      <c r="S46" s="45">
        <v>2760</v>
      </c>
      <c r="T46" s="46">
        <v>103.19299511164245</v>
      </c>
      <c r="U46" s="47">
        <v>0.10866666666666668</v>
      </c>
      <c r="V46" s="46">
        <v>104.01655590508966</v>
      </c>
      <c r="W46" s="47">
        <v>0.10708333333333335</v>
      </c>
      <c r="X46" s="48">
        <v>0.82356079344721422</v>
      </c>
      <c r="Y46" s="35">
        <f t="shared" si="0"/>
        <v>0.10787500000000001</v>
      </c>
    </row>
    <row r="47" spans="1:28" x14ac:dyDescent="0.3">
      <c r="B47" s="119"/>
      <c r="C47" s="125"/>
      <c r="D47" s="27"/>
      <c r="E47" s="27"/>
      <c r="F47" s="25"/>
      <c r="G47" s="131">
        <f>SUMPRODUCT(G22:G46,H22:H46)</f>
        <v>5.41</v>
      </c>
      <c r="H47" s="132">
        <f>SUM(H22:H46)</f>
        <v>1.0000000000000002</v>
      </c>
      <c r="I47" s="152">
        <f>$G$17*H47</f>
        <v>67033078.926652066</v>
      </c>
      <c r="K47" s="134">
        <f>SUM(K22:K46)</f>
        <v>67802638.436652049</v>
      </c>
      <c r="P47" s="28" t="s">
        <v>89</v>
      </c>
      <c r="Q47" s="28">
        <v>15</v>
      </c>
      <c r="R47" s="29">
        <v>48594</v>
      </c>
      <c r="S47" s="45">
        <v>2791</v>
      </c>
      <c r="T47" s="46">
        <v>101.06239504555073</v>
      </c>
      <c r="U47" s="47">
        <v>0.10985</v>
      </c>
      <c r="V47" s="46">
        <v>101.93790651005347</v>
      </c>
      <c r="W47" s="47">
        <v>0.10815</v>
      </c>
      <c r="X47" s="48">
        <v>0.8755114645027362</v>
      </c>
      <c r="Y47" s="35">
        <f t="shared" si="0"/>
        <v>0.109</v>
      </c>
    </row>
    <row r="48" spans="1:28" x14ac:dyDescent="0.3">
      <c r="B48" s="36"/>
      <c r="C48" s="30"/>
      <c r="D48" s="27"/>
      <c r="E48" s="27"/>
      <c r="F48" s="25"/>
      <c r="G48" s="49"/>
      <c r="H48" s="26"/>
      <c r="I48" s="125"/>
      <c r="P48" s="28" t="s">
        <v>90</v>
      </c>
      <c r="Q48" s="28">
        <v>20</v>
      </c>
      <c r="R48" s="29">
        <v>48731</v>
      </c>
      <c r="S48" s="45">
        <v>2928</v>
      </c>
      <c r="T48" s="46">
        <v>89.520351689785002</v>
      </c>
      <c r="U48" s="47">
        <v>0.11000000000000001</v>
      </c>
      <c r="V48" s="46">
        <v>90.353538741444311</v>
      </c>
      <c r="W48" s="47">
        <v>0.10829999999999999</v>
      </c>
      <c r="X48" s="48">
        <v>0.83318705165930851</v>
      </c>
      <c r="Y48" s="35">
        <f t="shared" si="0"/>
        <v>0.10915</v>
      </c>
    </row>
    <row r="49" spans="2:25" x14ac:dyDescent="0.3">
      <c r="B49" s="36"/>
      <c r="C49" s="30"/>
      <c r="D49" s="27"/>
      <c r="E49" s="27"/>
      <c r="F49" s="25"/>
      <c r="G49" s="49"/>
      <c r="H49" s="26"/>
      <c r="I49" s="30"/>
      <c r="P49" s="28" t="s">
        <v>91</v>
      </c>
      <c r="Q49" s="28">
        <v>20</v>
      </c>
      <c r="R49" s="29">
        <v>48761</v>
      </c>
      <c r="S49" s="45">
        <v>2958</v>
      </c>
      <c r="T49" s="46">
        <v>111.67710108203714</v>
      </c>
      <c r="U49" s="47">
        <v>0.11027499999999998</v>
      </c>
      <c r="V49" s="46">
        <v>112.66318862793254</v>
      </c>
      <c r="W49" s="47">
        <v>0.10854999999999999</v>
      </c>
      <c r="X49" s="48">
        <v>0.98608754589540126</v>
      </c>
      <c r="Y49" s="35">
        <f t="shared" si="0"/>
        <v>0.1094125</v>
      </c>
    </row>
    <row r="50" spans="2:25" x14ac:dyDescent="0.3">
      <c r="B50" s="36"/>
      <c r="C50" s="30"/>
      <c r="D50" s="27"/>
      <c r="E50" s="27"/>
      <c r="F50" s="25"/>
      <c r="G50" s="49"/>
      <c r="H50" s="26"/>
      <c r="I50" s="30"/>
      <c r="P50" s="28" t="s">
        <v>92</v>
      </c>
      <c r="Q50" s="28">
        <v>20</v>
      </c>
      <c r="R50" s="29">
        <v>48884</v>
      </c>
      <c r="S50" s="45">
        <v>3081</v>
      </c>
      <c r="T50" s="46">
        <v>89.347308394764667</v>
      </c>
      <c r="U50" s="47">
        <v>0.10965625000000001</v>
      </c>
      <c r="V50" s="46">
        <v>90.089527809409645</v>
      </c>
      <c r="W50" s="47">
        <v>0.10818750000000001</v>
      </c>
      <c r="X50" s="48">
        <v>0.74221941464497831</v>
      </c>
      <c r="Y50" s="35">
        <f t="shared" si="0"/>
        <v>0.108921875</v>
      </c>
    </row>
    <row r="51" spans="2:25" ht="18" customHeight="1" x14ac:dyDescent="0.45">
      <c r="B51" s="36"/>
      <c r="C51" s="30"/>
      <c r="D51" s="27"/>
      <c r="E51" s="27"/>
      <c r="F51" s="25"/>
      <c r="G51" s="49"/>
      <c r="H51" s="26"/>
      <c r="I51" s="135"/>
      <c r="J51" s="136" t="s">
        <v>111</v>
      </c>
      <c r="K51" s="137">
        <f>K47-J17</f>
        <v>769559.50999999791</v>
      </c>
      <c r="P51" s="28" t="s">
        <v>93</v>
      </c>
      <c r="Q51" s="28">
        <v>20</v>
      </c>
      <c r="R51" s="29">
        <v>48945</v>
      </c>
      <c r="S51" s="45">
        <v>3142</v>
      </c>
      <c r="T51" s="46">
        <v>108.78616377837714</v>
      </c>
      <c r="U51" s="47">
        <v>0.116025</v>
      </c>
      <c r="V51" s="46">
        <v>110.66719676547456</v>
      </c>
      <c r="W51" s="47">
        <v>0.11274999999999999</v>
      </c>
      <c r="X51" s="48">
        <v>1.881032987097413</v>
      </c>
      <c r="Y51" s="35">
        <f t="shared" si="0"/>
        <v>0.1143875</v>
      </c>
    </row>
    <row r="52" spans="2:25" x14ac:dyDescent="0.3">
      <c r="B52" s="36"/>
      <c r="C52" s="30"/>
      <c r="D52" s="27"/>
      <c r="E52" s="27"/>
      <c r="F52" s="25"/>
      <c r="G52" s="49"/>
      <c r="H52" s="26"/>
      <c r="I52" s="30"/>
      <c r="P52" s="28" t="s">
        <v>94</v>
      </c>
      <c r="Q52" s="28">
        <v>15</v>
      </c>
      <c r="R52" s="29">
        <v>49202</v>
      </c>
      <c r="S52" s="45">
        <v>3399</v>
      </c>
      <c r="T52" s="46">
        <v>93.281849018695496</v>
      </c>
      <c r="U52" s="47">
        <v>0.11435714285714287</v>
      </c>
      <c r="V52" s="46">
        <v>94.836418870899095</v>
      </c>
      <c r="W52" s="47">
        <v>0.1115</v>
      </c>
      <c r="X52" s="48">
        <v>1.5545698522035991</v>
      </c>
      <c r="Y52" s="35">
        <f t="shared" si="0"/>
        <v>0.11292857142857143</v>
      </c>
    </row>
    <row r="53" spans="2:25" x14ac:dyDescent="0.3">
      <c r="H53" s="26"/>
      <c r="I53" s="30"/>
      <c r="P53" s="28" t="s">
        <v>95</v>
      </c>
      <c r="Q53" s="28">
        <v>20</v>
      </c>
      <c r="R53" s="29">
        <v>49383</v>
      </c>
      <c r="S53" s="45">
        <v>3580</v>
      </c>
      <c r="T53" s="46">
        <v>100.50700415394135</v>
      </c>
      <c r="U53" s="47">
        <v>0.11406250000000001</v>
      </c>
      <c r="V53" s="46">
        <v>101.90686526674293</v>
      </c>
      <c r="W53" s="47">
        <v>0.1116875</v>
      </c>
      <c r="X53" s="48">
        <v>1.3998611128015739</v>
      </c>
      <c r="Y53" s="35">
        <f t="shared" si="0"/>
        <v>0.112875</v>
      </c>
    </row>
    <row r="54" spans="2:25" x14ac:dyDescent="0.3">
      <c r="H54" s="26"/>
      <c r="I54" s="30"/>
      <c r="P54" s="28" t="s">
        <v>96</v>
      </c>
      <c r="Q54" s="28">
        <v>20</v>
      </c>
      <c r="R54" s="29">
        <v>50997</v>
      </c>
      <c r="S54" s="45">
        <v>5194</v>
      </c>
      <c r="T54" s="46">
        <v>91.11862216881471</v>
      </c>
      <c r="U54" s="47">
        <v>0.11797500000000001</v>
      </c>
      <c r="V54" s="46">
        <v>93.79986168957771</v>
      </c>
      <c r="W54" s="47">
        <v>0.11385000000000001</v>
      </c>
      <c r="X54" s="48">
        <v>2.6812395207630004</v>
      </c>
      <c r="Y54" s="35">
        <f t="shared" si="0"/>
        <v>0.1159125</v>
      </c>
    </row>
    <row r="55" spans="2:25" x14ac:dyDescent="0.3">
      <c r="H55" s="26"/>
      <c r="I55" s="30"/>
      <c r="P55" s="28" t="s">
        <v>97</v>
      </c>
      <c r="Q55" s="28">
        <v>25</v>
      </c>
      <c r="R55" s="29">
        <v>51502</v>
      </c>
      <c r="S55" s="45">
        <v>5699</v>
      </c>
      <c r="T55" s="46">
        <v>105.19475691813776</v>
      </c>
      <c r="U55" s="47">
        <v>0.1128125</v>
      </c>
      <c r="V55" s="46">
        <v>107.25711007461753</v>
      </c>
      <c r="W55" s="47">
        <v>0.110125</v>
      </c>
      <c r="X55" s="48">
        <v>2.062353156479773</v>
      </c>
      <c r="Y55" s="35">
        <f t="shared" si="0"/>
        <v>0.11146875000000001</v>
      </c>
    </row>
    <row r="56" spans="2:25" x14ac:dyDescent="0.3">
      <c r="H56" s="26"/>
      <c r="I56" s="30"/>
      <c r="P56" s="28" t="s">
        <v>98</v>
      </c>
      <c r="Q56" s="28">
        <v>30</v>
      </c>
      <c r="R56" s="29">
        <v>52383</v>
      </c>
      <c r="S56" s="45">
        <v>6580</v>
      </c>
      <c r="T56" s="46">
        <v>81.537431976306095</v>
      </c>
      <c r="U56" s="47">
        <v>0.11440625</v>
      </c>
      <c r="V56" s="46">
        <v>83.401984783308237</v>
      </c>
      <c r="W56" s="47">
        <v>0.1115625</v>
      </c>
      <c r="X56" s="48">
        <v>1.8645528070021413</v>
      </c>
      <c r="Y56" s="35">
        <f t="shared" si="0"/>
        <v>0.112984375</v>
      </c>
    </row>
    <row r="57" spans="2:25" x14ac:dyDescent="0.3">
      <c r="H57" s="26"/>
      <c r="I57" s="30"/>
      <c r="P57" s="28" t="s">
        <v>99</v>
      </c>
      <c r="Q57" s="28">
        <v>30</v>
      </c>
      <c r="R57" s="29">
        <v>52597</v>
      </c>
      <c r="S57" s="45">
        <v>6794</v>
      </c>
      <c r="T57" s="46">
        <v>115.50917753571191</v>
      </c>
      <c r="U57" s="47">
        <v>0.11462499999999999</v>
      </c>
      <c r="V57" s="46">
        <v>118.02290929024407</v>
      </c>
      <c r="W57" s="47">
        <v>0.11175</v>
      </c>
      <c r="X57" s="48">
        <v>2.5137317545321594</v>
      </c>
      <c r="Y57" s="35">
        <f t="shared" si="0"/>
        <v>0.1131875</v>
      </c>
    </row>
    <row r="58" spans="2:25" x14ac:dyDescent="0.3">
      <c r="H58" s="26"/>
      <c r="I58" s="30"/>
      <c r="P58" s="28" t="s">
        <v>100</v>
      </c>
      <c r="Q58" s="28">
        <v>30</v>
      </c>
      <c r="R58" s="29">
        <v>52749</v>
      </c>
      <c r="S58" s="45">
        <v>6946</v>
      </c>
      <c r="T58" s="46">
        <v>115.33784480264798</v>
      </c>
      <c r="U58" s="47">
        <v>0.11496874999999999</v>
      </c>
      <c r="V58" s="46">
        <v>117.88869492811044</v>
      </c>
      <c r="W58" s="47">
        <v>0.1120625</v>
      </c>
      <c r="X58" s="48">
        <v>2.5508501254624605</v>
      </c>
      <c r="Y58" s="35">
        <f t="shared" si="0"/>
        <v>0.113515625</v>
      </c>
    </row>
    <row r="59" spans="2:25" ht="18" x14ac:dyDescent="0.35">
      <c r="D59" s="150" t="s">
        <v>1</v>
      </c>
      <c r="E59" s="150" t="s">
        <v>115</v>
      </c>
      <c r="F59" s="150" t="s">
        <v>111</v>
      </c>
      <c r="H59" s="26"/>
      <c r="I59" s="30"/>
      <c r="P59" s="28" t="s">
        <v>101</v>
      </c>
      <c r="Q59" s="28">
        <v>30</v>
      </c>
      <c r="R59" s="29">
        <v>53022</v>
      </c>
      <c r="S59" s="45">
        <v>7219</v>
      </c>
      <c r="T59" s="46">
        <v>107.23655178938517</v>
      </c>
      <c r="U59" s="47">
        <v>0.1155625</v>
      </c>
      <c r="V59" s="46">
        <v>109.7915492336204</v>
      </c>
      <c r="W59" s="47">
        <v>0.1125</v>
      </c>
      <c r="X59" s="48">
        <v>2.5549974442352266</v>
      </c>
      <c r="Y59" s="35">
        <f t="shared" si="0"/>
        <v>0.11403125</v>
      </c>
    </row>
    <row r="60" spans="2:25" x14ac:dyDescent="0.3">
      <c r="D60" s="94"/>
      <c r="E60" s="142">
        <f>J17</f>
        <v>67033078.926652052</v>
      </c>
      <c r="F60" s="142">
        <f>K51</f>
        <v>769559.50999999791</v>
      </c>
      <c r="H60" s="26"/>
      <c r="I60" s="30"/>
    </row>
    <row r="61" spans="2:25" ht="15" thickBot="1" x14ac:dyDescent="0.35">
      <c r="D61" s="144">
        <v>-7.4999999999999997E-2</v>
      </c>
      <c r="E61" s="143">
        <f t="dataTable" ref="E61:F491" dt2D="0" dtr="0" r1="F3"/>
        <v>105577800.90757814</v>
      </c>
      <c r="F61" s="143">
        <v>4319093.7809183598</v>
      </c>
      <c r="H61" s="26"/>
      <c r="I61" s="30"/>
    </row>
    <row r="62" spans="2:25" x14ac:dyDescent="0.3">
      <c r="D62" s="144">
        <v>-7.2499999999999995E-2</v>
      </c>
      <c r="E62" s="143">
        <v>103819200.46098135</v>
      </c>
      <c r="F62" s="143">
        <v>4076559.8389845192</v>
      </c>
      <c r="H62" s="26"/>
      <c r="I62" s="30"/>
      <c r="P62" s="153"/>
      <c r="Q62" s="154"/>
      <c r="R62" s="154"/>
      <c r="S62" s="154"/>
      <c r="T62" s="154"/>
      <c r="U62" s="155"/>
    </row>
    <row r="63" spans="2:25" ht="16.2" thickBot="1" x14ac:dyDescent="0.35">
      <c r="D63" s="144">
        <v>-7.0000000000000007E-2</v>
      </c>
      <c r="E63" s="143">
        <v>102102005.7481313</v>
      </c>
      <c r="F63" s="143">
        <v>3847670.5165944099</v>
      </c>
      <c r="H63" s="26"/>
      <c r="I63" s="30"/>
      <c r="P63" s="156" t="s">
        <v>105</v>
      </c>
      <c r="Q63" s="157"/>
      <c r="R63" s="157"/>
      <c r="S63" s="157"/>
      <c r="T63" s="157"/>
      <c r="U63" s="158"/>
    </row>
    <row r="64" spans="2:25" ht="15" thickBot="1" x14ac:dyDescent="0.35">
      <c r="D64" s="144">
        <v>-6.7500000000000004E-2</v>
      </c>
      <c r="E64" s="143">
        <v>100425088.9916628</v>
      </c>
      <c r="F64" s="143">
        <v>3631665.2268509269</v>
      </c>
      <c r="H64" s="26"/>
      <c r="I64" s="30"/>
      <c r="P64" s="68" t="s">
        <v>44</v>
      </c>
      <c r="Q64" s="40"/>
      <c r="R64" s="38" t="s">
        <v>106</v>
      </c>
      <c r="S64" s="37"/>
      <c r="T64" s="69">
        <v>45803</v>
      </c>
      <c r="U64" s="70"/>
    </row>
    <row r="65" spans="4:28" ht="15" thickBot="1" x14ac:dyDescent="0.35">
      <c r="D65" s="144">
        <v>-6.5000000000000002E-2</v>
      </c>
      <c r="E65" s="143">
        <v>98787355.613964885</v>
      </c>
      <c r="F65" s="143">
        <v>3427824.8051163107</v>
      </c>
      <c r="H65" s="26"/>
      <c r="P65" s="39"/>
      <c r="Q65" s="37"/>
      <c r="R65" s="40"/>
      <c r="S65" s="41"/>
      <c r="T65" s="42"/>
      <c r="U65" s="70"/>
    </row>
    <row r="66" spans="4:28" ht="16.2" customHeight="1" thickBot="1" x14ac:dyDescent="0.35">
      <c r="D66" s="144">
        <v>-6.25E-2</v>
      </c>
      <c r="E66" s="143">
        <v>97187743.204885781</v>
      </c>
      <c r="F66" s="143">
        <v>3235469.3026596755</v>
      </c>
      <c r="H66" s="26"/>
      <c r="P66" s="71" t="s">
        <v>107</v>
      </c>
      <c r="Q66" s="43" t="s">
        <v>45</v>
      </c>
      <c r="R66" s="43" t="s">
        <v>40</v>
      </c>
      <c r="S66" s="43" t="s">
        <v>46</v>
      </c>
      <c r="T66" s="43" t="s">
        <v>40</v>
      </c>
      <c r="U66" s="44" t="s">
        <v>47</v>
      </c>
      <c r="V66" s="87" t="s">
        <v>29</v>
      </c>
    </row>
    <row r="67" spans="4:28" x14ac:dyDescent="0.3">
      <c r="D67" s="144">
        <v>-0.06</v>
      </c>
      <c r="E67" s="143">
        <v>95625220.523027644</v>
      </c>
      <c r="F67" s="143">
        <v>3053955.8967418522</v>
      </c>
      <c r="H67" s="26"/>
      <c r="P67" s="72" t="s">
        <v>108</v>
      </c>
      <c r="Q67" s="73">
        <v>98.13275180591522</v>
      </c>
      <c r="R67" s="77">
        <v>7.6111111111111102E-2</v>
      </c>
      <c r="S67" s="78">
        <v>98.179586827572095</v>
      </c>
      <c r="T67" s="77">
        <v>7.4166666666666659E-2</v>
      </c>
      <c r="U67" s="79">
        <v>4.6835021656875142E-2</v>
      </c>
      <c r="V67" s="21">
        <f>AVERAGE(R67,T67)</f>
        <v>7.513888888888888E-2</v>
      </c>
    </row>
    <row r="68" spans="4:28" x14ac:dyDescent="0.3">
      <c r="D68" s="144">
        <v>-5.7500000000000002E-2</v>
      </c>
      <c r="E68" s="143">
        <v>94098786.52949211</v>
      </c>
      <c r="F68" s="143">
        <v>2882676.9109813869</v>
      </c>
      <c r="H68" s="26"/>
      <c r="P68" s="72" t="s">
        <v>109</v>
      </c>
      <c r="Q68" s="73">
        <v>96.238671906327696</v>
      </c>
      <c r="R68" s="74">
        <v>7.8166666666666662E-2</v>
      </c>
      <c r="S68" s="75">
        <v>96.321070234113719</v>
      </c>
      <c r="T68" s="74">
        <v>7.6388888888888895E-2</v>
      </c>
      <c r="U68" s="76">
        <v>8.2398327786023629E-2</v>
      </c>
      <c r="V68" s="21">
        <f t="shared" ref="V68:V69" si="18">AVERAGE(R68,T68)</f>
        <v>7.7277777777777779E-2</v>
      </c>
    </row>
    <row r="69" spans="4:28" x14ac:dyDescent="0.3">
      <c r="D69" s="144">
        <v>-5.5E-2</v>
      </c>
      <c r="E69" s="143">
        <v>92607469.452979475</v>
      </c>
      <c r="F69" s="143">
        <v>2721057.940170452</v>
      </c>
      <c r="H69" s="50"/>
      <c r="P69" s="80" t="s">
        <v>110</v>
      </c>
      <c r="Q69" s="81">
        <v>92.444510182762784</v>
      </c>
      <c r="R69" s="82">
        <v>8.1729999999999997E-2</v>
      </c>
      <c r="S69" s="83">
        <v>92.562595455176563</v>
      </c>
      <c r="T69" s="82">
        <v>8.0349999999999991E-2</v>
      </c>
      <c r="U69" s="84">
        <v>0.11808527241377931</v>
      </c>
      <c r="V69" s="21">
        <f t="shared" si="18"/>
        <v>8.1040000000000001E-2</v>
      </c>
    </row>
    <row r="70" spans="4:28" x14ac:dyDescent="0.3">
      <c r="D70" s="144">
        <v>-5.2499999999999998E-2</v>
      </c>
      <c r="E70" s="143">
        <v>91150325.885180786</v>
      </c>
      <c r="F70" s="143">
        <v>2568556.0740263015</v>
      </c>
      <c r="H70" s="26"/>
      <c r="P70" s="85"/>
      <c r="Q70" s="86"/>
      <c r="R70" s="33"/>
      <c r="S70" s="34"/>
      <c r="T70" s="33"/>
      <c r="U70" s="34"/>
    </row>
    <row r="71" spans="4:28" x14ac:dyDescent="0.3">
      <c r="D71" s="144">
        <v>-0.05</v>
      </c>
      <c r="E71" s="143">
        <v>89726439.905440569</v>
      </c>
      <c r="F71" s="143">
        <v>2424658.2146518677</v>
      </c>
      <c r="H71" s="26"/>
      <c r="P71" s="85"/>
      <c r="Q71" s="86"/>
      <c r="R71" s="33"/>
      <c r="S71" s="34"/>
      <c r="T71" s="33"/>
      <c r="U71" s="34"/>
    </row>
    <row r="72" spans="4:28" x14ac:dyDescent="0.3">
      <c r="D72" s="144">
        <v>-4.7500000000000001E-2</v>
      </c>
      <c r="E72" s="143">
        <v>88334922.233703747</v>
      </c>
      <c r="F72" s="143">
        <v>2288879.4827626497</v>
      </c>
      <c r="H72" s="26"/>
      <c r="P72" s="85"/>
      <c r="Q72" s="86"/>
      <c r="R72" s="33"/>
      <c r="S72" s="34"/>
      <c r="T72" s="33"/>
      <c r="U72" s="34"/>
    </row>
    <row r="73" spans="4:28" x14ac:dyDescent="0.3">
      <c r="D73" s="144">
        <v>-4.4999999999999998E-2</v>
      </c>
      <c r="E73" s="143">
        <v>86974909.410794526</v>
      </c>
      <c r="F73" s="143">
        <v>2160761.7079957873</v>
      </c>
      <c r="H73" s="26"/>
      <c r="P73" s="85"/>
      <c r="Q73" s="86"/>
      <c r="R73" s="33"/>
      <c r="S73" s="34"/>
      <c r="T73" s="33"/>
      <c r="U73" s="34"/>
    </row>
    <row r="74" spans="4:28" x14ac:dyDescent="0.3">
      <c r="D74" s="144">
        <v>-4.2500000000000003E-2</v>
      </c>
      <c r="E74" s="143">
        <v>85645563.005107999</v>
      </c>
      <c r="F74" s="143">
        <v>2039871.9988697618</v>
      </c>
      <c r="H74" s="26"/>
      <c r="P74" s="85"/>
      <c r="Q74" s="86"/>
      <c r="R74" s="33"/>
      <c r="S74" s="34"/>
      <c r="T74" s="33"/>
      <c r="U74" s="34"/>
    </row>
    <row r="75" spans="4:28" x14ac:dyDescent="0.3">
      <c r="D75" s="144">
        <v>-0.04</v>
      </c>
      <c r="E75" s="143">
        <v>84346068.844828531</v>
      </c>
      <c r="F75" s="143">
        <v>1925801.3881962746</v>
      </c>
      <c r="H75" s="26"/>
      <c r="P75" s="85"/>
      <c r="Q75" s="86"/>
      <c r="R75" s="33"/>
      <c r="S75" s="34"/>
      <c r="T75" s="33"/>
      <c r="U75" s="34"/>
    </row>
    <row r="76" spans="4:28" x14ac:dyDescent="0.3">
      <c r="D76" s="144">
        <v>-3.7499999999999999E-2</v>
      </c>
      <c r="E76" s="143">
        <v>83075636.274818167</v>
      </c>
      <c r="F76" s="143">
        <v>1818163.549970597</v>
      </c>
      <c r="G76" s="49"/>
      <c r="H76" s="26"/>
      <c r="P76" s="85"/>
      <c r="Q76" s="86"/>
      <c r="R76" s="33"/>
      <c r="S76" s="34"/>
      <c r="T76" s="33"/>
      <c r="U76" s="34"/>
    </row>
    <row r="77" spans="4:28" x14ac:dyDescent="0.3">
      <c r="D77" s="144">
        <v>-3.5000000000000003E-2</v>
      </c>
      <c r="E77" s="143">
        <v>81833497.437349617</v>
      </c>
      <c r="F77" s="143">
        <v>1716593.583975926</v>
      </c>
      <c r="P77" s="85"/>
      <c r="Q77" s="86"/>
      <c r="R77" s="33"/>
      <c r="S77" s="34"/>
      <c r="T77" s="33"/>
      <c r="U77" s="34"/>
    </row>
    <row r="78" spans="4:28" x14ac:dyDescent="0.3">
      <c r="D78" s="144">
        <v>-3.2500000000000001E-2</v>
      </c>
      <c r="E78" s="143">
        <v>80618906.575886279</v>
      </c>
      <c r="F78" s="143">
        <v>1620746.8645379096</v>
      </c>
      <c r="P78" s="85"/>
      <c r="Q78" s="86"/>
      <c r="R78" s="33"/>
      <c r="S78" s="34"/>
      <c r="T78" s="33"/>
      <c r="U78" s="34"/>
    </row>
    <row r="79" spans="4:28" x14ac:dyDescent="0.3">
      <c r="D79" s="144">
        <v>-0.03</v>
      </c>
      <c r="E79" s="143">
        <v>79431139.361139849</v>
      </c>
      <c r="F79" s="143">
        <v>1530297.9500545859</v>
      </c>
      <c r="P79" s="85"/>
      <c r="Q79" s="86"/>
      <c r="R79" s="33"/>
      <c r="S79" s="34"/>
      <c r="T79" s="33"/>
      <c r="U79" s="34"/>
      <c r="W79" s="85"/>
      <c r="X79" s="86"/>
      <c r="Y79" s="33"/>
      <c r="Z79" s="34"/>
      <c r="AA79" s="33"/>
      <c r="AB79" s="34"/>
    </row>
    <row r="80" spans="4:28" x14ac:dyDescent="0.3">
      <c r="D80" s="144">
        <v>-2.75E-2</v>
      </c>
      <c r="E80" s="143">
        <v>78269492.238662362</v>
      </c>
      <c r="F80" s="143">
        <v>1444939.5501043946</v>
      </c>
      <c r="P80" s="85"/>
      <c r="Q80" s="86"/>
      <c r="R80" s="33"/>
      <c r="S80" s="34"/>
      <c r="T80" s="33"/>
      <c r="U80" s="34"/>
    </row>
    <row r="81" spans="4:6" x14ac:dyDescent="0.3">
      <c r="D81" s="144">
        <v>-2.5000000000000001E-2</v>
      </c>
      <c r="E81" s="143">
        <v>77133281.797255814</v>
      </c>
      <c r="F81" s="143">
        <v>1364381.5471051931</v>
      </c>
    </row>
    <row r="82" spans="4:6" x14ac:dyDescent="0.3">
      <c r="D82" s="144">
        <v>-2.2499999999999999E-2</v>
      </c>
      <c r="E82" s="143">
        <v>76021844.157506377</v>
      </c>
      <c r="F82" s="143">
        <v>1288350.0696575642</v>
      </c>
    </row>
    <row r="83" spans="4:6" x14ac:dyDescent="0.3">
      <c r="D83" s="144">
        <v>-0.02</v>
      </c>
      <c r="E83" s="143">
        <v>74934534.379775792</v>
      </c>
      <c r="F83" s="143">
        <v>1216586.6148553044</v>
      </c>
    </row>
    <row r="84" spans="4:6" x14ac:dyDescent="0.3">
      <c r="D84" s="144">
        <v>-1.7499999999999901E-2</v>
      </c>
      <c r="E84" s="143">
        <v>73870725.891003475</v>
      </c>
      <c r="F84" s="143">
        <v>1148847.21699211</v>
      </c>
    </row>
    <row r="85" spans="4:6" x14ac:dyDescent="0.3">
      <c r="D85" s="144">
        <v>-1.4999999999999901E-2</v>
      </c>
      <c r="E85" s="143">
        <v>72829809.929697156</v>
      </c>
      <c r="F85" s="143">
        <v>1084901.6602265239</v>
      </c>
    </row>
    <row r="86" spans="4:6" x14ac:dyDescent="0.3">
      <c r="D86" s="144">
        <v>-1.24999999999999E-2</v>
      </c>
      <c r="E86" s="143">
        <v>71811195.008509129</v>
      </c>
      <c r="F86" s="143">
        <v>1024532.7328983247</v>
      </c>
    </row>
    <row r="87" spans="4:6" x14ac:dyDescent="0.3">
      <c r="D87" s="144">
        <v>-9.9999999999998996E-3</v>
      </c>
      <c r="E87" s="143">
        <v>70814306.393818974</v>
      </c>
      <c r="F87" s="143">
        <v>967535.5213086009</v>
      </c>
    </row>
    <row r="88" spans="4:6" x14ac:dyDescent="0.3">
      <c r="D88" s="144">
        <v>-7.4999999999999E-3</v>
      </c>
      <c r="E88" s="143">
        <v>69838585.601759478</v>
      </c>
      <c r="F88" s="143">
        <v>913716.74089327455</v>
      </c>
    </row>
    <row r="89" spans="4:6" x14ac:dyDescent="0.3">
      <c r="D89" s="144">
        <v>-4.9999999999998899E-3</v>
      </c>
      <c r="E89" s="143">
        <v>68883489.910145894</v>
      </c>
      <c r="F89" s="143">
        <v>862894.10282701254</v>
      </c>
    </row>
    <row r="90" spans="4:6" x14ac:dyDescent="0.3">
      <c r="D90" s="144">
        <v>-2.4999999999998899E-3</v>
      </c>
      <c r="E90" s="143">
        <v>67948491.885784015</v>
      </c>
      <c r="F90" s="143">
        <v>814895.71419914067</v>
      </c>
    </row>
    <row r="91" spans="4:6" x14ac:dyDescent="0.3">
      <c r="D91" s="144">
        <v>9.7144514654701197E-17</v>
      </c>
      <c r="E91" s="143">
        <v>67033078.926652037</v>
      </c>
      <c r="F91" s="143">
        <v>769559.50999995321</v>
      </c>
    </row>
    <row r="92" spans="4:6" x14ac:dyDescent="0.3">
      <c r="D92" s="144">
        <v>2.5000000000000998E-3</v>
      </c>
      <c r="E92" s="143">
        <v>66136752.818468504</v>
      </c>
      <c r="F92" s="143">
        <v>726732.71524861455</v>
      </c>
    </row>
    <row r="93" spans="4:6" x14ac:dyDescent="0.3">
      <c r="D93" s="144">
        <v>5.0000000000000999E-3</v>
      </c>
      <c r="E93" s="143">
        <v>65259029.305174157</v>
      </c>
      <c r="F93" s="143">
        <v>686271.3356821537</v>
      </c>
    </row>
    <row r="94" spans="4:6" x14ac:dyDescent="0.3">
      <c r="D94" s="144">
        <v>7.5000000000001003E-3</v>
      </c>
      <c r="E94" s="143">
        <v>64399437.672872633</v>
      </c>
      <c r="F94" s="143">
        <v>648039.67550691217</v>
      </c>
    </row>
    <row r="95" spans="4:6" x14ac:dyDescent="0.3">
      <c r="D95" s="144">
        <v>1.0000000000000101E-2</v>
      </c>
      <c r="E95" s="143">
        <v>63557520.346790433</v>
      </c>
      <c r="F95" s="143">
        <v>611909.88079359382</v>
      </c>
    </row>
    <row r="96" spans="4:6" x14ac:dyDescent="0.3">
      <c r="D96" s="144">
        <v>1.25000000000001E-2</v>
      </c>
      <c r="E96" s="143">
        <v>62732832.500830323</v>
      </c>
      <c r="F96" s="143">
        <v>577761.50717036426</v>
      </c>
    </row>
    <row r="97" spans="2:6" x14ac:dyDescent="0.3">
      <c r="D97" s="144">
        <v>1.50000000000001E-2</v>
      </c>
      <c r="E97" s="143">
        <v>61924941.679308407</v>
      </c>
      <c r="F97" s="143">
        <v>545481.11054038256</v>
      </c>
    </row>
    <row r="98" spans="2:6" x14ac:dyDescent="0.3">
      <c r="D98" s="144">
        <v>1.7500000000000099E-2</v>
      </c>
      <c r="E98" s="143">
        <v>61133427.430477992</v>
      </c>
      <c r="F98" s="143">
        <v>514961.8596149683</v>
      </c>
    </row>
    <row r="99" spans="2:6" x14ac:dyDescent="0.3">
      <c r="B99" s="21"/>
      <c r="D99" s="144">
        <v>2.0000000000000101E-2</v>
      </c>
      <c r="E99" s="143">
        <v>60357880.951456815</v>
      </c>
      <c r="F99" s="143">
        <v>486103.1691192165</v>
      </c>
    </row>
    <row r="100" spans="2:6" x14ac:dyDescent="0.3">
      <c r="B100" s="21"/>
      <c r="D100" s="144">
        <v>2.25000000000001E-2</v>
      </c>
      <c r="E100" s="143">
        <v>59597904.744187564</v>
      </c>
      <c r="F100" s="143">
        <v>458810.35258468986</v>
      </c>
    </row>
    <row r="101" spans="2:6" x14ac:dyDescent="0.3">
      <c r="B101" s="21"/>
      <c r="D101" s="144">
        <v>2.5000000000000001E-2</v>
      </c>
      <c r="E101" s="143">
        <v>58853112.282073863</v>
      </c>
      <c r="F101" s="143">
        <v>432994.29370188713</v>
      </c>
    </row>
    <row r="102" spans="2:6" x14ac:dyDescent="0.3">
      <c r="B102" s="21"/>
      <c r="D102" s="144">
        <v>2.75E-2</v>
      </c>
      <c r="E102" s="143">
        <v>58123127.686946005</v>
      </c>
      <c r="F102" s="143">
        <v>408571.1352584362</v>
      </c>
    </row>
    <row r="103" spans="2:6" x14ac:dyDescent="0.3">
      <c r="B103" s="21"/>
      <c r="D103" s="144">
        <v>0.03</v>
      </c>
      <c r="E103" s="98">
        <v>57407585.416022517</v>
      </c>
      <c r="F103" s="98">
        <v>385461.98474006355</v>
      </c>
    </row>
    <row r="104" spans="2:6" x14ac:dyDescent="0.3">
      <c r="B104" s="21"/>
      <c r="D104" s="144">
        <v>3.2500000000000001E-2</v>
      </c>
      <c r="E104" s="98">
        <v>56706129.958544448</v>
      </c>
      <c r="F104" s="98">
        <v>363592.63571938127</v>
      </c>
    </row>
    <row r="105" spans="2:6" x14ac:dyDescent="0.3">
      <c r="B105" s="21"/>
      <c r="D105" s="144">
        <v>3.5000000000000003E-2</v>
      </c>
      <c r="E105" s="98">
        <v>56018415.541770503</v>
      </c>
      <c r="F105" s="98">
        <v>342893.30420381576</v>
      </c>
    </row>
    <row r="106" spans="2:6" x14ac:dyDescent="0.3">
      <c r="D106" s="144">
        <v>3.7499999999999999E-2</v>
      </c>
      <c r="E106" s="98">
        <v>55344105.846031621</v>
      </c>
      <c r="F106" s="98">
        <v>323298.3791565299</v>
      </c>
    </row>
    <row r="107" spans="2:6" x14ac:dyDescent="0.3">
      <c r="D107" s="144">
        <v>0.04</v>
      </c>
      <c r="E107" s="98">
        <v>54682873.728553325</v>
      </c>
      <c r="F107" s="98">
        <v>304746.18644614518</v>
      </c>
    </row>
    <row r="108" spans="2:6" x14ac:dyDescent="0.3">
      <c r="D108" s="144">
        <v>4.2500000000000003E-2</v>
      </c>
      <c r="E108" s="98">
        <v>54034400.955764413</v>
      </c>
      <c r="F108" s="98">
        <v>287178.76551889628</v>
      </c>
    </row>
    <row r="109" spans="2:6" x14ac:dyDescent="0.3">
      <c r="D109" s="144">
        <v>4.4999999999999998E-2</v>
      </c>
      <c r="E109" s="151">
        <v>53398377.943819523</v>
      </c>
      <c r="F109" s="143">
        <v>270541.6581248492</v>
      </c>
    </row>
    <row r="110" spans="2:6" x14ac:dyDescent="0.3">
      <c r="D110" s="144">
        <v>4.7500000000000001E-2</v>
      </c>
      <c r="E110" s="151">
        <v>52774503.507072419</v>
      </c>
      <c r="F110" s="143">
        <v>254783.70846383274</v>
      </c>
    </row>
    <row r="111" spans="2:6" x14ac:dyDescent="0.3">
      <c r="D111" s="144">
        <v>0.05</v>
      </c>
      <c r="E111" s="143">
        <v>52162484.614245668</v>
      </c>
      <c r="F111" s="143">
        <v>239856.87415015697</v>
      </c>
    </row>
    <row r="112" spans="2:6" x14ac:dyDescent="0.3">
      <c r="D112" s="144">
        <v>5.2499999999999998E-2</v>
      </c>
      <c r="E112" s="143">
        <v>51562036.152050763</v>
      </c>
      <c r="F112" s="143">
        <v>225716.04742655158</v>
      </c>
    </row>
    <row r="113" spans="4:6" x14ac:dyDescent="0.3">
      <c r="D113" s="144">
        <v>5.5E-2</v>
      </c>
      <c r="E113" s="143">
        <v>50972880.696020603</v>
      </c>
      <c r="F113" s="143">
        <v>212318.88608770072</v>
      </c>
    </row>
    <row r="114" spans="4:6" x14ac:dyDescent="0.3">
      <c r="D114" s="144">
        <v>5.7500000000000002E-2</v>
      </c>
      <c r="E114" s="143">
        <v>50394748.288325116</v>
      </c>
      <c r="F114" s="143">
        <v>199625.65360107273</v>
      </c>
    </row>
    <row r="115" spans="4:6" x14ac:dyDescent="0.3">
      <c r="D115" s="144">
        <v>0.06</v>
      </c>
      <c r="E115" s="143">
        <v>49827376.22234688</v>
      </c>
      <c r="F115" s="143">
        <v>187599.06794086099</v>
      </c>
    </row>
    <row r="116" spans="4:6" x14ac:dyDescent="0.3">
      <c r="D116" s="144">
        <v>6.25E-2</v>
      </c>
      <c r="E116" s="143">
        <v>49270508.833802633</v>
      </c>
      <c r="F116" s="143">
        <v>176204.15867435932</v>
      </c>
    </row>
    <row r="117" spans="4:6" x14ac:dyDescent="0.3">
      <c r="D117" s="144">
        <v>6.5000000000000002E-2</v>
      </c>
      <c r="E117" s="143">
        <v>48723897.298202477</v>
      </c>
      <c r="F117" s="143">
        <v>165408.13186580688</v>
      </c>
    </row>
    <row r="118" spans="4:6" x14ac:dyDescent="0.3">
      <c r="D118" s="144">
        <v>6.7500000000000004E-2</v>
      </c>
      <c r="E118" s="143">
        <v>48187299.434445843</v>
      </c>
      <c r="F118" s="143">
        <v>155180.24238421768</v>
      </c>
    </row>
    <row r="119" spans="4:6" x14ac:dyDescent="0.3">
      <c r="D119" s="144">
        <v>7.0000000000000007E-2</v>
      </c>
      <c r="E119" s="143">
        <v>47660479.514360011</v>
      </c>
      <c r="F119" s="143">
        <v>145491.6732237637</v>
      </c>
    </row>
    <row r="120" spans="4:6" x14ac:dyDescent="0.3">
      <c r="D120" s="144">
        <v>7.2499999999999995E-2</v>
      </c>
      <c r="E120" s="143">
        <v>47143208.077993296</v>
      </c>
      <c r="F120" s="143">
        <v>136315.42146567255</v>
      </c>
    </row>
    <row r="121" spans="4:6" x14ac:dyDescent="0.3">
      <c r="D121" s="144">
        <v>7.4999999999999997E-2</v>
      </c>
      <c r="E121" s="143">
        <v>46635261.754481114</v>
      </c>
      <c r="F121" s="143">
        <v>127626.19053002447</v>
      </c>
    </row>
    <row r="122" spans="4:6" x14ac:dyDescent="0.3">
      <c r="D122" s="144">
        <v>7.7499999999999999E-2</v>
      </c>
      <c r="E122" s="143">
        <v>46136423.088309146</v>
      </c>
      <c r="F122" s="143">
        <v>119400.2883836329</v>
      </c>
    </row>
    <row r="123" spans="4:6" x14ac:dyDescent="0.3">
      <c r="D123" s="144">
        <v>0.08</v>
      </c>
      <c r="E123" s="143">
        <v>45646480.370803729</v>
      </c>
      <c r="F123" s="143">
        <v>111615.53138846159</v>
      </c>
    </row>
    <row r="124" spans="4:6" x14ac:dyDescent="0.3">
      <c r="D124" s="144">
        <v>8.2500000000000004E-2</v>
      </c>
      <c r="E124" s="143">
        <v>45165227.476684943</v>
      </c>
      <c r="F124" s="143">
        <v>104251.15349084139</v>
      </c>
    </row>
    <row r="125" spans="4:6" x14ac:dyDescent="0.3">
      <c r="D125" s="144">
        <v>8.5000000000000006E-2</v>
      </c>
      <c r="E125" s="143">
        <v>44692463.705523446</v>
      </c>
      <c r="F125" s="143">
        <v>97287.720467291772</v>
      </c>
    </row>
    <row r="126" spans="4:6" x14ac:dyDescent="0.3">
      <c r="D126" s="144">
        <v>8.7499999999999994E-2</v>
      </c>
      <c r="E126" s="143">
        <v>44227993.627947241</v>
      </c>
      <c r="F126" s="143">
        <v>90707.048958569765</v>
      </c>
    </row>
    <row r="127" spans="4:6" x14ac:dyDescent="0.3">
      <c r="D127" s="144">
        <v>0.09</v>
      </c>
      <c r="E127" s="143">
        <v>43771626.936449379</v>
      </c>
      <c r="F127" s="143">
        <v>84492.130035892129</v>
      </c>
    </row>
    <row r="128" spans="4:6" x14ac:dyDescent="0.3">
      <c r="D128" s="144">
        <v>9.2499999999999999E-2</v>
      </c>
      <c r="E128" s="143">
        <v>43323178.300652876</v>
      </c>
      <c r="F128" s="143">
        <v>78627.057058617473</v>
      </c>
    </row>
    <row r="129" spans="4:6" x14ac:dyDescent="0.3">
      <c r="D129" s="144">
        <v>9.5000000000000001E-2</v>
      </c>
      <c r="E129" s="143">
        <v>42882467.226893477</v>
      </c>
      <c r="F129" s="143">
        <v>73096.957593344152</v>
      </c>
    </row>
    <row r="130" spans="4:6" x14ac:dyDescent="0.3">
      <c r="D130" s="144">
        <v>9.7500000000000003E-2</v>
      </c>
      <c r="E130" s="143">
        <v>42449317.921985507</v>
      </c>
      <c r="F130" s="143">
        <v>67887.929177835584</v>
      </c>
    </row>
    <row r="131" spans="4:6" x14ac:dyDescent="0.3">
      <c r="D131" s="144">
        <v>0.1</v>
      </c>
      <c r="E131" s="143">
        <v>42023559.161040448</v>
      </c>
      <c r="F131" s="143">
        <v>62986.97872377187</v>
      </c>
    </row>
    <row r="132" spans="4:6" x14ac:dyDescent="0.3">
      <c r="D132" s="144">
        <v>0.10249999999999999</v>
      </c>
      <c r="E132" s="143">
        <v>41605024.15921209</v>
      </c>
      <c r="F132" s="143">
        <v>58381.965363144875</v>
      </c>
    </row>
    <row r="133" spans="4:6" x14ac:dyDescent="0.3">
      <c r="D133" s="144">
        <v>0.105</v>
      </c>
      <c r="E133" s="143">
        <v>41193550.447246321</v>
      </c>
      <c r="F133" s="143">
        <v>54061.546553619206</v>
      </c>
    </row>
    <row r="134" spans="4:6" x14ac:dyDescent="0.3">
      <c r="D134" s="144">
        <v>0.1075</v>
      </c>
      <c r="E134" s="143">
        <v>40788979.750717349</v>
      </c>
      <c r="F134" s="143">
        <v>50015.127267338336</v>
      </c>
    </row>
    <row r="135" spans="4:6" x14ac:dyDescent="0.3">
      <c r="D135" s="144">
        <v>0.11</v>
      </c>
      <c r="E135" s="143">
        <v>40391157.872836068</v>
      </c>
      <c r="F135" s="143">
        <v>46232.812097601593</v>
      </c>
    </row>
    <row r="136" spans="4:6" x14ac:dyDescent="0.3">
      <c r="D136" s="144">
        <v>0.1125</v>
      </c>
      <c r="E136" s="143">
        <v>39999934.580720022</v>
      </c>
      <c r="F136" s="143">
        <v>42705.360125519335</v>
      </c>
    </row>
    <row r="137" spans="4:6" x14ac:dyDescent="0.3">
      <c r="D137" s="144">
        <v>0.115</v>
      </c>
      <c r="E137" s="143">
        <v>39615163.495018005</v>
      </c>
      <c r="F137" s="143">
        <v>39424.142397806048</v>
      </c>
    </row>
    <row r="138" spans="4:6" x14ac:dyDescent="0.3">
      <c r="D138" s="144">
        <v>0.11749999999999999</v>
      </c>
      <c r="E138" s="143">
        <v>39236701.982785523</v>
      </c>
      <c r="F138" s="143">
        <v>36381.101874552667</v>
      </c>
    </row>
    <row r="139" spans="4:6" x14ac:dyDescent="0.3">
      <c r="D139" s="144">
        <v>0.12</v>
      </c>
      <c r="E139" s="143">
        <v>38864411.053511053</v>
      </c>
      <c r="F139" s="143">
        <v>33568.715712592006</v>
      </c>
    </row>
    <row r="140" spans="4:6" x14ac:dyDescent="0.3">
      <c r="D140" s="144">
        <v>0.1225</v>
      </c>
      <c r="E140" s="143">
        <v>38498155.258195981</v>
      </c>
      <c r="F140" s="143">
        <v>30979.959758162498</v>
      </c>
    </row>
    <row r="141" spans="4:6" x14ac:dyDescent="0.3">
      <c r="D141" s="144">
        <v>0.125</v>
      </c>
      <c r="E141" s="143">
        <v>38137802.591394365</v>
      </c>
      <c r="F141" s="143">
        <v>28608.275128126144</v>
      </c>
    </row>
    <row r="142" spans="4:6" x14ac:dyDescent="0.3">
      <c r="D142" s="144">
        <v>0.1275</v>
      </c>
      <c r="E142" s="143">
        <v>37783224.396121487</v>
      </c>
      <c r="F142" s="143">
        <v>26447.536766119301</v>
      </c>
    </row>
    <row r="143" spans="4:6" x14ac:dyDescent="0.3">
      <c r="D143" s="144">
        <v>0.13</v>
      </c>
      <c r="E143" s="143">
        <v>37434295.271543339</v>
      </c>
      <c r="F143" s="143">
        <v>24492.023865744472</v>
      </c>
    </row>
    <row r="144" spans="4:6" x14ac:dyDescent="0.3">
      <c r="D144" s="144">
        <v>0.13250000000000001</v>
      </c>
      <c r="E144" s="143">
        <v>37090892.983361758</v>
      </c>
      <c r="F144" s="143">
        <v>22736.392058320343</v>
      </c>
    </row>
    <row r="145" spans="4:6" x14ac:dyDescent="0.3">
      <c r="D145" s="144">
        <v>0.13500000000000001</v>
      </c>
      <c r="E145" s="143">
        <v>36752898.376812771</v>
      </c>
      <c r="F145" s="143">
        <v>21175.647268511355</v>
      </c>
    </row>
    <row r="146" spans="4:6" x14ac:dyDescent="0.3">
      <c r="D146" s="144">
        <v>0.13750000000000001</v>
      </c>
      <c r="E146" s="143">
        <v>36420195.292198345</v>
      </c>
      <c r="F146" s="143">
        <v>19805.12114597857</v>
      </c>
    </row>
    <row r="147" spans="4:6" x14ac:dyDescent="0.3">
      <c r="D147" s="144">
        <v>0.14000000000000001</v>
      </c>
      <c r="E147" s="143">
        <v>36092670.482874095</v>
      </c>
      <c r="F147" s="143">
        <v>18620.447986297309</v>
      </c>
    </row>
    <row r="148" spans="4:6" x14ac:dyDescent="0.3">
      <c r="D148" s="144">
        <v>0.14249999999999999</v>
      </c>
      <c r="E148" s="143">
        <v>35770213.53561838</v>
      </c>
      <c r="F148" s="143">
        <v>17617.543058469892</v>
      </c>
    </row>
    <row r="149" spans="4:6" x14ac:dyDescent="0.3">
      <c r="D149" s="144">
        <v>0.14499999999999999</v>
      </c>
      <c r="E149" s="143">
        <v>35452716.793309927</v>
      </c>
      <c r="F149" s="143">
        <v>16792.582261495292</v>
      </c>
    </row>
    <row r="150" spans="4:6" x14ac:dyDescent="0.3">
      <c r="D150" s="144">
        <v>0.14749999999999999</v>
      </c>
      <c r="E150" s="143">
        <v>35140075.279844359</v>
      </c>
      <c r="F150" s="143">
        <v>16141.983035512269</v>
      </c>
    </row>
    <row r="151" spans="4:6" x14ac:dyDescent="0.3">
      <c r="D151" s="144">
        <v>0.15</v>
      </c>
      <c r="E151" s="143">
        <v>34832186.627221026</v>
      </c>
      <c r="F151" s="143">
        <v>15662.386458352208</v>
      </c>
    </row>
    <row r="152" spans="4:6" x14ac:dyDescent="0.3">
      <c r="D152" s="144">
        <v>0.1525</v>
      </c>
      <c r="E152" s="143">
        <v>34528951.004734889</v>
      </c>
      <c r="F152" s="143">
        <v>15350.640460513532</v>
      </c>
    </row>
    <row r="153" spans="4:6" x14ac:dyDescent="0.3">
      <c r="D153" s="144">
        <v>0.155</v>
      </c>
      <c r="E153" s="143">
        <v>34230271.050209485</v>
      </c>
      <c r="F153" s="143">
        <v>15203.7840962708</v>
      </c>
    </row>
    <row r="154" spans="4:6" x14ac:dyDescent="0.3">
      <c r="D154" s="144">
        <v>0.1575</v>
      </c>
      <c r="E154" s="143">
        <v>33936051.803209305</v>
      </c>
      <c r="F154" s="143">
        <v>15219.032811336219</v>
      </c>
    </row>
    <row r="155" spans="4:6" x14ac:dyDescent="0.3">
      <c r="D155" s="144">
        <v>0.16</v>
      </c>
      <c r="E155" s="143">
        <v>33646200.640171751</v>
      </c>
      <c r="F155" s="143">
        <v>15393.764650933444</v>
      </c>
    </row>
    <row r="156" spans="4:6" x14ac:dyDescent="0.3">
      <c r="D156" s="144">
        <v>0.16250000000000001</v>
      </c>
      <c r="E156" s="143">
        <v>33360627.211401075</v>
      </c>
      <c r="F156" s="143">
        <v>15725.507354937494</v>
      </c>
    </row>
    <row r="157" spans="4:6" x14ac:dyDescent="0.3">
      <c r="D157" s="144">
        <v>0.16500000000000001</v>
      </c>
      <c r="E157" s="143">
        <v>33079243.379867744</v>
      </c>
      <c r="F157" s="143">
        <v>16211.926289711148</v>
      </c>
    </row>
    <row r="158" spans="4:6" x14ac:dyDescent="0.3">
      <c r="D158" s="144">
        <v>0.16750000000000001</v>
      </c>
      <c r="E158" s="143">
        <v>32801963.16175947</v>
      </c>
      <c r="F158" s="143">
        <v>16850.813169024885</v>
      </c>
    </row>
    <row r="159" spans="4:6" x14ac:dyDescent="0.3">
      <c r="D159" s="144">
        <v>0.17</v>
      </c>
      <c r="E159" s="143">
        <v>32528702.668730851</v>
      </c>
      <c r="F159" s="143">
        <v>17640.075518671423</v>
      </c>
    </row>
    <row r="160" spans="4:6" x14ac:dyDescent="0.3">
      <c r="D160" s="144">
        <v>0.17249999999999999</v>
      </c>
      <c r="E160" s="143">
        <v>32259380.051801056</v>
      </c>
      <c r="F160" s="143">
        <v>18577.726842336357</v>
      </c>
    </row>
    <row r="161" spans="4:6" x14ac:dyDescent="0.3">
      <c r="D161" s="144">
        <v>0.17499999999999999</v>
      </c>
      <c r="E161" s="143">
        <v>31993915.44684983</v>
      </c>
      <c r="F161" s="143">
        <v>19661.87744788453</v>
      </c>
    </row>
    <row r="162" spans="4:6" x14ac:dyDescent="0.3">
      <c r="D162" s="144">
        <v>0.17749999999999999</v>
      </c>
      <c r="E162" s="143">
        <v>31732230.92166426</v>
      </c>
      <c r="F162" s="143">
        <v>20890.725896328688</v>
      </c>
    </row>
    <row r="163" spans="4:6" x14ac:dyDescent="0.3">
      <c r="D163" s="144">
        <v>0.18</v>
      </c>
      <c r="E163" s="143">
        <v>31474250.424489979</v>
      </c>
      <c r="F163" s="143">
        <v>22262.551036577672</v>
      </c>
    </row>
    <row r="164" spans="4:6" x14ac:dyDescent="0.3">
      <c r="D164" s="144">
        <v>0.1825</v>
      </c>
      <c r="E164" s="143">
        <v>31219899.734041639</v>
      </c>
      <c r="F164" s="143">
        <v>23775.704592481256</v>
      </c>
    </row>
    <row r="165" spans="4:6" x14ac:dyDescent="0.3">
      <c r="D165" s="144">
        <v>0.185</v>
      </c>
      <c r="E165" s="143">
        <v>30969106.410929583</v>
      </c>
      <c r="F165" s="143">
        <v>25428.604269012809</v>
      </c>
    </row>
    <row r="166" spans="4:6" x14ac:dyDescent="0.3">
      <c r="D166" s="144">
        <v>0.1875</v>
      </c>
      <c r="E166" s="143">
        <v>30721799.750460237</v>
      </c>
      <c r="F166" s="143">
        <v>27219.727347519249</v>
      </c>
    </row>
    <row r="167" spans="4:6" x14ac:dyDescent="0.3">
      <c r="D167" s="144">
        <v>0.19</v>
      </c>
      <c r="E167" s="143">
        <v>30477910.736769587</v>
      </c>
      <c r="F167" s="143">
        <v>29147.604740779847</v>
      </c>
    </row>
    <row r="168" spans="4:6" x14ac:dyDescent="0.3">
      <c r="D168" s="144">
        <v>0.1925</v>
      </c>
      <c r="E168" s="143">
        <v>30237371.998250101</v>
      </c>
      <c r="F168" s="143">
        <v>31210.815480392426</v>
      </c>
    </row>
    <row r="169" spans="4:6" x14ac:dyDescent="0.3">
      <c r="D169" s="144">
        <v>0.19500000000000001</v>
      </c>
      <c r="E169" s="143">
        <v>30000117.764232825</v>
      </c>
      <c r="F169" s="143">
        <v>33407.981610853225</v>
      </c>
    </row>
    <row r="170" spans="4:6" x14ac:dyDescent="0.3">
      <c r="D170" s="144">
        <v>0.19750000000000001</v>
      </c>
      <c r="E170" s="143">
        <v>29766083.822887398</v>
      </c>
      <c r="F170" s="143">
        <v>35737.763465519994</v>
      </c>
    </row>
    <row r="171" spans="4:6" x14ac:dyDescent="0.3">
      <c r="D171" s="144">
        <v>0.2</v>
      </c>
      <c r="E171" s="143">
        <v>29535207.480304144</v>
      </c>
      <c r="F171" s="143">
        <v>38198.855301499367</v>
      </c>
    </row>
    <row r="172" spans="4:6" x14ac:dyDescent="0.3">
      <c r="D172" s="144">
        <v>0.20250000000000001</v>
      </c>
      <c r="E172" s="143">
        <v>29307427.520723131</v>
      </c>
      <c r="F172" s="143">
        <v>40789.981271520257</v>
      </c>
    </row>
    <row r="173" spans="4:6" x14ac:dyDescent="0.3">
      <c r="D173" s="144">
        <v>0.20499999999999999</v>
      </c>
      <c r="E173" s="143">
        <v>29082684.167876661</v>
      </c>
      <c r="F173" s="143">
        <v>43509.891712069511</v>
      </c>
    </row>
    <row r="174" spans="4:6" x14ac:dyDescent="0.3">
      <c r="D174" s="144">
        <v>0.20749999999999999</v>
      </c>
      <c r="E174" s="143">
        <v>28860919.047412068</v>
      </c>
      <c r="F174" s="143">
        <v>46357.359728332609</v>
      </c>
    </row>
    <row r="175" spans="4:6" x14ac:dyDescent="0.3">
      <c r="D175" s="144">
        <v>0.21</v>
      </c>
      <c r="E175" s="143">
        <v>28642075.150363468</v>
      </c>
      <c r="F175" s="143">
        <v>49331.178057305515</v>
      </c>
    </row>
    <row r="176" spans="4:6" x14ac:dyDescent="0.3">
      <c r="D176" s="144">
        <v>0.21249999999999999</v>
      </c>
      <c r="E176" s="143">
        <v>28426096.797641274</v>
      </c>
      <c r="F176" s="143">
        <v>52430.156191907823</v>
      </c>
    </row>
    <row r="177" spans="4:6" x14ac:dyDescent="0.3">
      <c r="D177" s="144">
        <v>0.215</v>
      </c>
      <c r="E177" s="143">
        <v>28212929.605509836</v>
      </c>
      <c r="F177" s="143">
        <v>55653.117749415338</v>
      </c>
    </row>
    <row r="178" spans="4:6" x14ac:dyDescent="0.3">
      <c r="D178" s="144">
        <v>0.2175</v>
      </c>
      <c r="E178" s="143">
        <v>28002520.452024318</v>
      </c>
      <c r="F178" s="143">
        <v>58998.898068744689</v>
      </c>
    </row>
    <row r="179" spans="4:6" x14ac:dyDescent="0.3">
      <c r="D179" s="144">
        <v>0.22</v>
      </c>
      <c r="E179" s="143">
        <v>27794817.444398616</v>
      </c>
      <c r="F179" s="143">
        <v>62466.342021845281</v>
      </c>
    </row>
    <row r="180" spans="4:6" x14ac:dyDescent="0.3">
      <c r="D180" s="144">
        <v>0.2225</v>
      </c>
      <c r="E180" s="143">
        <v>27589769.887277097</v>
      </c>
      <c r="F180" s="143">
        <v>66054.302025642246</v>
      </c>
    </row>
    <row r="181" spans="4:6" x14ac:dyDescent="0.3">
      <c r="D181" s="144">
        <v>0.22500000000000001</v>
      </c>
      <c r="E181" s="143">
        <v>27387328.251884092</v>
      </c>
      <c r="F181" s="143">
        <v>69761.636240921915</v>
      </c>
    </row>
    <row r="182" spans="4:6" x14ac:dyDescent="0.3">
      <c r="D182" s="144">
        <v>0.22750000000000001</v>
      </c>
      <c r="E182" s="143">
        <v>27187444.146025166</v>
      </c>
      <c r="F182" s="143">
        <v>73587.206946358085</v>
      </c>
    </row>
    <row r="183" spans="4:6" x14ac:dyDescent="0.3">
      <c r="D183" s="144">
        <v>0.23</v>
      </c>
      <c r="E183" s="143">
        <v>26990070.284915712</v>
      </c>
      <c r="F183" s="143">
        <v>77529.879075810313</v>
      </c>
    </row>
    <row r="184" spans="4:6" x14ac:dyDescent="0.3">
      <c r="D184" s="144">
        <v>0.23250000000000001</v>
      </c>
      <c r="E184" s="143">
        <v>26795160.462812655</v>
      </c>
      <c r="F184" s="143">
        <v>81588.518907874823</v>
      </c>
    </row>
    <row r="185" spans="4:6" x14ac:dyDescent="0.3">
      <c r="D185" s="144">
        <v>0.23499999999999999</v>
      </c>
      <c r="E185" s="143">
        <v>26602669.525426082</v>
      </c>
      <c r="F185" s="143">
        <v>85761.992897488177</v>
      </c>
    </row>
    <row r="186" spans="4:6" x14ac:dyDescent="0.3">
      <c r="D186" s="144">
        <v>0.23749999999999999</v>
      </c>
      <c r="E186" s="143">
        <v>26412553.343088053</v>
      </c>
      <c r="F186" s="143">
        <v>90049.166639786214</v>
      </c>
    </row>
    <row r="187" spans="4:6" x14ac:dyDescent="0.3">
      <c r="D187" s="144">
        <v>0.24</v>
      </c>
      <c r="E187" s="143">
        <v>26224768.784656875</v>
      </c>
      <c r="F187" s="143">
        <v>94448.903957024217</v>
      </c>
    </row>
    <row r="188" spans="4:6" x14ac:dyDescent="0.3">
      <c r="D188" s="144">
        <v>0.24249999999999999</v>
      </c>
      <c r="E188" s="143">
        <v>26039273.692135427</v>
      </c>
      <c r="F188" s="143">
        <v>98960.066099945456</v>
      </c>
    </row>
    <row r="189" spans="4:6" x14ac:dyDescent="0.3">
      <c r="D189" s="144">
        <v>0.245</v>
      </c>
      <c r="E189" s="143">
        <v>25856026.855982993</v>
      </c>
      <c r="F189" s="143">
        <v>103581.51105538756</v>
      </c>
    </row>
    <row r="190" spans="4:6" x14ac:dyDescent="0.3">
      <c r="D190" s="144">
        <v>0.2475</v>
      </c>
      <c r="E190" s="143">
        <v>25674987.991100661</v>
      </c>
      <c r="F190" s="143">
        <v>108312.09295251966</v>
      </c>
    </row>
    <row r="191" spans="4:6" x14ac:dyDescent="0.3">
      <c r="D191" s="144">
        <v>0.25</v>
      </c>
      <c r="E191" s="143">
        <v>25496117.713470805</v>
      </c>
      <c r="F191" s="143">
        <v>113150.66156058758</v>
      </c>
    </row>
    <row r="192" spans="4:6" x14ac:dyDescent="0.3">
      <c r="D192" s="144">
        <v>0.2525</v>
      </c>
      <c r="E192" s="143">
        <v>25319377.517431993</v>
      </c>
      <c r="F192" s="143">
        <v>118096.06187102571</v>
      </c>
    </row>
    <row r="193" spans="4:6" x14ac:dyDescent="0.3">
      <c r="D193" s="144">
        <v>0.255</v>
      </c>
      <c r="E193" s="143">
        <v>25144729.75357084</v>
      </c>
      <c r="F193" s="143">
        <v>123147.13375809416</v>
      </c>
    </row>
    <row r="194" spans="4:6" x14ac:dyDescent="0.3">
      <c r="D194" s="144">
        <v>0.25750000000000001</v>
      </c>
      <c r="E194" s="143">
        <v>24972137.607213486</v>
      </c>
      <c r="F194" s="143">
        <v>128302.71171150729</v>
      </c>
    </row>
    <row r="195" spans="4:6" x14ac:dyDescent="0.3">
      <c r="D195" s="144">
        <v>0.26</v>
      </c>
      <c r="E195" s="143">
        <v>24801565.077499207</v>
      </c>
      <c r="F195" s="143">
        <v>133561.62463572249</v>
      </c>
    </row>
    <row r="196" spans="4:6" x14ac:dyDescent="0.3">
      <c r="D196" s="144">
        <v>0.26250000000000001</v>
      </c>
      <c r="E196" s="143">
        <v>24632976.957019575</v>
      </c>
      <c r="F196" s="143">
        <v>138922.69571059942</v>
      </c>
    </row>
    <row r="197" spans="4:6" x14ac:dyDescent="0.3">
      <c r="D197" s="144">
        <v>0.26500000000000001</v>
      </c>
      <c r="E197" s="143">
        <v>24466338.812007301</v>
      </c>
      <c r="F197" s="143">
        <v>144384.7423081845</v>
      </c>
    </row>
    <row r="198" spans="4:6" x14ac:dyDescent="0.3">
      <c r="D198" s="144">
        <v>0.26750000000000002</v>
      </c>
      <c r="E198" s="143">
        <v>24301616.963058643</v>
      </c>
      <c r="F198" s="143">
        <v>149946.57596131787</v>
      </c>
    </row>
    <row r="199" spans="4:6" x14ac:dyDescent="0.3">
      <c r="D199" s="144">
        <v>0.27</v>
      </c>
      <c r="E199" s="143">
        <v>24138778.466374621</v>
      </c>
      <c r="F199" s="143">
        <v>155607.00237932429</v>
      </c>
    </row>
    <row r="200" spans="4:6" x14ac:dyDescent="0.3">
      <c r="D200" s="144">
        <v>0.27250000000000002</v>
      </c>
      <c r="E200" s="143">
        <v>23977791.095505942</v>
      </c>
      <c r="F200" s="143">
        <v>161364.821506951</v>
      </c>
    </row>
    <row r="201" spans="4:6" x14ac:dyDescent="0.3">
      <c r="D201" s="144">
        <v>0.27500000000000002</v>
      </c>
      <c r="E201" s="143">
        <v>23818623.323587622</v>
      </c>
      <c r="F201" s="143">
        <v>167218.82762254402</v>
      </c>
    </row>
    <row r="202" spans="4:6" x14ac:dyDescent="0.3">
      <c r="D202" s="144">
        <v>0.27750000000000002</v>
      </c>
      <c r="E202" s="143">
        <v>23661244.306049127</v>
      </c>
      <c r="F202" s="143">
        <v>173167.80947189033</v>
      </c>
    </row>
    <row r="203" spans="4:6" x14ac:dyDescent="0.3">
      <c r="D203" s="144">
        <v>0.28000000000000003</v>
      </c>
      <c r="E203" s="143">
        <v>23505623.863786869</v>
      </c>
      <c r="F203" s="143">
        <v>179210.5504344292</v>
      </c>
    </row>
    <row r="204" spans="4:6" x14ac:dyDescent="0.3">
      <c r="D204" s="144">
        <v>0.28249999999999997</v>
      </c>
      <c r="E204" s="143">
        <v>23351732.46678577</v>
      </c>
      <c r="F204" s="143">
        <v>185345.82871839404</v>
      </c>
    </row>
    <row r="205" spans="4:6" x14ac:dyDescent="0.3">
      <c r="D205" s="144">
        <v>0.28499999999999998</v>
      </c>
      <c r="E205" s="143">
        <v>23199541.218177248</v>
      </c>
      <c r="F205" s="143">
        <v>191572.41758244112</v>
      </c>
    </row>
    <row r="206" spans="4:6" x14ac:dyDescent="0.3">
      <c r="D206" s="144">
        <v>0.28749999999999998</v>
      </c>
      <c r="E206" s="143">
        <v>23049021.838721447</v>
      </c>
      <c r="F206" s="143">
        <v>197889.08558033779</v>
      </c>
    </row>
    <row r="207" spans="4:6" x14ac:dyDescent="0.3">
      <c r="D207" s="144">
        <v>0.28999999999999998</v>
      </c>
      <c r="E207" s="143">
        <v>22900146.651701577</v>
      </c>
      <c r="F207" s="143">
        <v>204294.59682674706</v>
      </c>
    </row>
    <row r="208" spans="4:6" x14ac:dyDescent="0.3">
      <c r="D208" s="144">
        <v>0.29249999999999998</v>
      </c>
      <c r="E208" s="143">
        <v>22752888.568218928</v>
      </c>
      <c r="F208" s="143">
        <v>210787.71128123254</v>
      </c>
    </row>
    <row r="209" spans="4:6" x14ac:dyDescent="0.3">
      <c r="D209" s="144">
        <v>0.29499999999999998</v>
      </c>
      <c r="E209" s="143">
        <v>22607221.072877195</v>
      </c>
      <c r="F209" s="143">
        <v>217367.18504856527</v>
      </c>
    </row>
    <row r="210" spans="4:6" x14ac:dyDescent="0.3">
      <c r="D210" s="144">
        <v>0.29749999999999999</v>
      </c>
      <c r="E210" s="143">
        <v>22463118.209845297</v>
      </c>
      <c r="F210" s="143">
        <v>224031.77069300786</v>
      </c>
    </row>
    <row r="211" spans="4:6" x14ac:dyDescent="0.3">
      <c r="D211" s="144">
        <v>0.3</v>
      </c>
      <c r="E211" s="143">
        <v>22320554.569287986</v>
      </c>
      <c r="F211" s="143">
        <v>230780.21756473929</v>
      </c>
    </row>
    <row r="212" spans="4:6" x14ac:dyDescent="0.3">
      <c r="D212" s="144">
        <v>0.30249999999999999</v>
      </c>
      <c r="E212" s="143">
        <v>22179505.274154019</v>
      </c>
      <c r="F212" s="143">
        <v>237611.2721366398</v>
      </c>
    </row>
    <row r="213" spans="4:6" x14ac:dyDescent="0.3">
      <c r="D213" s="144">
        <v>0.30499999999999999</v>
      </c>
      <c r="E213" s="143">
        <v>22039945.967311963</v>
      </c>
      <c r="F213" s="143">
        <v>244523.67834953591</v>
      </c>
    </row>
    <row r="214" spans="4:6" x14ac:dyDescent="0.3">
      <c r="D214" s="144">
        <v>0.3075</v>
      </c>
      <c r="E214" s="143">
        <v>21901852.799023744</v>
      </c>
      <c r="F214" s="143">
        <v>251516.17796477303</v>
      </c>
    </row>
    <row r="215" spans="4:6" x14ac:dyDescent="0.3">
      <c r="D215" s="144">
        <v>0.31</v>
      </c>
      <c r="E215" s="143">
        <v>21765202.414746784</v>
      </c>
      <c r="F215" s="143">
        <v>258587.51092203707</v>
      </c>
    </row>
    <row r="216" spans="4:6" x14ac:dyDescent="0.3">
      <c r="D216" s="144">
        <v>0.3125</v>
      </c>
      <c r="E216" s="143">
        <v>21629971.943255395</v>
      </c>
      <c r="F216" s="143">
        <v>265736.41570173204</v>
      </c>
    </row>
    <row r="217" spans="4:6" x14ac:dyDescent="0.3">
      <c r="D217" s="144">
        <v>0.315</v>
      </c>
      <c r="E217" s="143">
        <v>21496138.985072635</v>
      </c>
      <c r="F217" s="143">
        <v>272961.62969025597</v>
      </c>
    </row>
    <row r="218" spans="4:6" x14ac:dyDescent="0.3">
      <c r="D218" s="144">
        <v>0.3175</v>
      </c>
      <c r="E218" s="143">
        <v>21363681.60120403</v>
      </c>
      <c r="F218" s="143">
        <v>280261.8895470351</v>
      </c>
    </row>
    <row r="219" spans="4:6" x14ac:dyDescent="0.3">
      <c r="D219" s="144">
        <v>0.32</v>
      </c>
      <c r="E219" s="143">
        <v>21232578.302164741</v>
      </c>
      <c r="F219" s="143">
        <v>287635.93157262355</v>
      </c>
    </row>
    <row r="220" spans="4:6" x14ac:dyDescent="0.3">
      <c r="D220" s="144">
        <v>0.32250000000000001</v>
      </c>
      <c r="E220" s="143">
        <v>21102808.03729216</v>
      </c>
      <c r="F220" s="143">
        <v>295082.49207633734</v>
      </c>
    </row>
    <row r="221" spans="4:6" x14ac:dyDescent="0.3">
      <c r="D221" s="144">
        <v>0.32500000000000001</v>
      </c>
      <c r="E221" s="143">
        <v>20974350.184335895</v>
      </c>
      <c r="F221" s="143">
        <v>302600.30774310231</v>
      </c>
    </row>
    <row r="222" spans="4:6" x14ac:dyDescent="0.3">
      <c r="D222" s="144">
        <v>0.32750000000000001</v>
      </c>
      <c r="E222" s="143">
        <v>20847184.539317667</v>
      </c>
      <c r="F222" s="143">
        <v>310188.11599815637</v>
      </c>
    </row>
    <row r="223" spans="4:6" x14ac:dyDescent="0.3">
      <c r="D223" s="144">
        <v>0.33</v>
      </c>
      <c r="E223" s="143">
        <v>20721291.30665357</v>
      </c>
      <c r="F223" s="143">
        <v>317844.6553693153</v>
      </c>
    </row>
    <row r="224" spans="4:6" x14ac:dyDescent="0.3">
      <c r="D224" s="144">
        <v>0.33250000000000002</v>
      </c>
      <c r="E224" s="143">
        <v>20596651.089531489</v>
      </c>
      <c r="F224" s="143">
        <v>325568.66584584862</v>
      </c>
    </row>
    <row r="225" spans="4:6" x14ac:dyDescent="0.3">
      <c r="D225" s="144">
        <v>0.33500000000000002</v>
      </c>
      <c r="E225" s="143">
        <v>20473244.880536713</v>
      </c>
      <c r="F225" s="143">
        <v>333358.8892333135</v>
      </c>
    </row>
    <row r="226" spans="4:6" x14ac:dyDescent="0.3">
      <c r="D226" s="144">
        <v>0.33750000000000002</v>
      </c>
      <c r="E226" s="143">
        <v>20351054.052518915</v>
      </c>
      <c r="F226" s="143">
        <v>341214.06950401887</v>
      </c>
    </row>
    <row r="227" spans="4:6" x14ac:dyDescent="0.3">
      <c r="D227" s="144">
        <v>0.34</v>
      </c>
      <c r="E227" s="143">
        <v>20230060.349693827</v>
      </c>
      <c r="F227" s="143">
        <v>349132.95314237103</v>
      </c>
    </row>
    <row r="228" spans="4:6" x14ac:dyDescent="0.3">
      <c r="D228" s="144">
        <v>0.34250000000000003</v>
      </c>
      <c r="E228" s="143">
        <v>20110245.878973294</v>
      </c>
      <c r="F228" s="143">
        <v>357114.2894847244</v>
      </c>
    </row>
    <row r="229" spans="4:6" x14ac:dyDescent="0.3">
      <c r="D229" s="144">
        <v>0.34499999999999997</v>
      </c>
      <c r="E229" s="143">
        <v>19991593.101517424</v>
      </c>
      <c r="F229" s="143">
        <v>365156.83105332032</v>
      </c>
    </row>
    <row r="230" spans="4:6" x14ac:dyDescent="0.3">
      <c r="D230" s="144">
        <v>0.34749999999999998</v>
      </c>
      <c r="E230" s="143">
        <v>19874084.82450271</v>
      </c>
      <c r="F230" s="143">
        <v>373259.33388397843</v>
      </c>
    </row>
    <row r="231" spans="4:6" x14ac:dyDescent="0.3">
      <c r="D231" s="144">
        <v>0.35</v>
      </c>
      <c r="E231" s="143">
        <v>19757704.193100359</v>
      </c>
      <c r="F231" s="143">
        <v>381420.55784714967</v>
      </c>
    </row>
    <row r="232" spans="4:6" x14ac:dyDescent="0.3">
      <c r="D232" s="144">
        <v>0.35249999999999998</v>
      </c>
      <c r="E232" s="143">
        <v>19642434.682659026</v>
      </c>
      <c r="F232" s="143">
        <v>389639.26696199179</v>
      </c>
    </row>
    <row r="233" spans="4:6" x14ac:dyDescent="0.3">
      <c r="D233" s="144">
        <v>0.35499999999999998</v>
      </c>
      <c r="E233" s="143">
        <v>19528260.091086421</v>
      </c>
      <c r="F233" s="143">
        <v>397914.22970345244</v>
      </c>
    </row>
    <row r="234" spans="4:6" x14ac:dyDescent="0.3">
      <c r="D234" s="144">
        <v>0.35749999999999998</v>
      </c>
      <c r="E234" s="143">
        <v>19415164.531424429</v>
      </c>
      <c r="F234" s="143">
        <v>406244.21930173039</v>
      </c>
    </row>
    <row r="235" spans="4:6" x14ac:dyDescent="0.3">
      <c r="D235" s="144">
        <v>0.36</v>
      </c>
      <c r="E235" s="143">
        <v>19303132.424612436</v>
      </c>
      <c r="F235" s="143">
        <v>414628.01403439417</v>
      </c>
    </row>
    <row r="236" spans="4:6" x14ac:dyDescent="0.3">
      <c r="D236" s="144">
        <v>0.36249999999999999</v>
      </c>
      <c r="E236" s="143">
        <v>19192148.492433831</v>
      </c>
      <c r="F236" s="143">
        <v>423064.39751058072</v>
      </c>
    </row>
    <row r="237" spans="4:6" x14ac:dyDescent="0.3">
      <c r="D237" s="144">
        <v>0.36499999999999999</v>
      </c>
      <c r="E237" s="143">
        <v>19082197.75064069</v>
      </c>
      <c r="F237" s="143">
        <v>431552.15894740447</v>
      </c>
    </row>
    <row r="238" spans="4:6" x14ac:dyDescent="0.3">
      <c r="D238" s="144">
        <v>0.36749999999999999</v>
      </c>
      <c r="E238" s="143">
        <v>18973265.502251927</v>
      </c>
      <c r="F238" s="143">
        <v>440090.09343838319</v>
      </c>
    </row>
    <row r="239" spans="4:6" x14ac:dyDescent="0.3">
      <c r="D239" s="144">
        <v>0.37</v>
      </c>
      <c r="E239" s="143">
        <v>18865337.331020046</v>
      </c>
      <c r="F239" s="143">
        <v>448677.00221376494</v>
      </c>
    </row>
    <row r="240" spans="4:6" x14ac:dyDescent="0.3">
      <c r="D240" s="144">
        <v>0.3725</v>
      </c>
      <c r="E240" s="143">
        <v>18758399.095062219</v>
      </c>
      <c r="F240" s="143">
        <v>457311.69289275259</v>
      </c>
    </row>
    <row r="241" spans="4:6" x14ac:dyDescent="0.3">
      <c r="D241" s="144">
        <v>0.375</v>
      </c>
      <c r="E241" s="143">
        <v>18652436.920651074</v>
      </c>
      <c r="F241" s="143">
        <v>465992.97972747311</v>
      </c>
    </row>
    <row r="242" spans="4:6" x14ac:dyDescent="0.3">
      <c r="D242" s="144">
        <v>0.3775</v>
      </c>
      <c r="E242" s="143">
        <v>18547437.196160998</v>
      </c>
      <c r="F242" s="143">
        <v>474719.68383887783</v>
      </c>
    </row>
    <row r="243" spans="4:6" x14ac:dyDescent="0.3">
      <c r="D243" s="144">
        <v>0.38</v>
      </c>
      <c r="E243" s="143">
        <v>18443386.566165738</v>
      </c>
      <c r="F243" s="143">
        <v>483490.63344432041</v>
      </c>
    </row>
    <row r="244" spans="4:6" x14ac:dyDescent="0.3">
      <c r="D244" s="144">
        <v>0.38250000000000001</v>
      </c>
      <c r="E244" s="143">
        <v>18340271.925683379</v>
      </c>
      <c r="F244" s="143">
        <v>492304.6640769504</v>
      </c>
    </row>
    <row r="245" spans="4:6" x14ac:dyDescent="0.3">
      <c r="D245" s="144">
        <v>0.38500000000000001</v>
      </c>
      <c r="E245" s="143">
        <v>18238080.414564587</v>
      </c>
      <c r="F245" s="143">
        <v>501160.6187969856</v>
      </c>
    </row>
    <row r="246" spans="4:6" x14ac:dyDescent="0.3">
      <c r="D246" s="144">
        <v>0.38750000000000001</v>
      </c>
      <c r="E246" s="143">
        <v>18136799.412020404</v>
      </c>
      <c r="F246" s="143">
        <v>510057.34839477018</v>
      </c>
    </row>
    <row r="247" spans="4:6" x14ac:dyDescent="0.3">
      <c r="D247" s="144">
        <v>0.39</v>
      </c>
      <c r="E247" s="143">
        <v>18036416.531285893</v>
      </c>
      <c r="F247" s="143">
        <v>518993.71158577874</v>
      </c>
    </row>
    <row r="248" spans="4:6" x14ac:dyDescent="0.3">
      <c r="D248" s="144">
        <v>0.39250000000000002</v>
      </c>
      <c r="E248" s="143">
        <v>17936919.614415981</v>
      </c>
      <c r="F248" s="143">
        <v>527968.57519757375</v>
      </c>
    </row>
    <row r="249" spans="4:6" x14ac:dyDescent="0.3">
      <c r="D249" s="144">
        <v>0.39500000000000002</v>
      </c>
      <c r="E249" s="143">
        <v>17838296.727209959</v>
      </c>
      <c r="F249" s="143">
        <v>536980.8143488057</v>
      </c>
    </row>
    <row r="250" spans="4:6" x14ac:dyDescent="0.3">
      <c r="D250" s="144">
        <v>0.39750000000000002</v>
      </c>
      <c r="E250" s="143">
        <v>17740536.154261332</v>
      </c>
      <c r="F250" s="143">
        <v>546029.31262030452</v>
      </c>
    </row>
    <row r="251" spans="4:6" x14ac:dyDescent="0.3">
      <c r="D251" s="144">
        <v>0.4</v>
      </c>
      <c r="E251" s="143">
        <v>17643626.394129574</v>
      </c>
      <c r="F251" s="143">
        <v>555112.96221841127</v>
      </c>
    </row>
    <row r="252" spans="4:6" x14ac:dyDescent="0.3">
      <c r="D252" s="144">
        <v>0.40250000000000002</v>
      </c>
      <c r="E252" s="143">
        <v>17547556.154630713</v>
      </c>
      <c r="F252" s="143">
        <v>564230.66413056105</v>
      </c>
    </row>
    <row r="253" spans="4:6" x14ac:dyDescent="0.3">
      <c r="D253" s="144">
        <v>0.40500000000000003</v>
      </c>
      <c r="E253" s="143">
        <v>17452314.348243371</v>
      </c>
      <c r="F253" s="143">
        <v>573381.32827337086</v>
      </c>
    </row>
    <row r="254" spans="4:6" x14ac:dyDescent="0.3">
      <c r="D254" s="144">
        <v>0.40749999999999997</v>
      </c>
      <c r="E254" s="143">
        <v>17357890.08762762</v>
      </c>
      <c r="F254" s="143">
        <v>582563.8736330457</v>
      </c>
    </row>
    <row r="255" spans="4:6" x14ac:dyDescent="0.3">
      <c r="D255" s="144">
        <v>0.41</v>
      </c>
      <c r="E255" s="143">
        <v>17264272.681253158</v>
      </c>
      <c r="F255" s="143">
        <v>591777.22839868069</v>
      </c>
    </row>
    <row r="256" spans="4:6" x14ac:dyDescent="0.3">
      <c r="D256" s="144">
        <v>0.41249999999999998</v>
      </c>
      <c r="E256" s="143">
        <v>17171451.629134446</v>
      </c>
      <c r="F256" s="143">
        <v>601020.33008805662</v>
      </c>
    </row>
    <row r="257" spans="4:6" x14ac:dyDescent="0.3">
      <c r="D257" s="144">
        <v>0.41499999999999998</v>
      </c>
      <c r="E257" s="143">
        <v>17079416.618669629</v>
      </c>
      <c r="F257" s="143">
        <v>610292.12566640601</v>
      </c>
    </row>
    <row r="258" spans="4:6" x14ac:dyDescent="0.3">
      <c r="D258" s="144">
        <v>0.41749999999999998</v>
      </c>
      <c r="E258" s="143">
        <v>16988157.520580694</v>
      </c>
      <c r="F258" s="143">
        <v>619591.57165832445</v>
      </c>
    </row>
    <row r="259" spans="4:6" x14ac:dyDescent="0.3">
      <c r="D259" s="144">
        <v>0.42</v>
      </c>
      <c r="E259" s="143">
        <v>16897664.38495221</v>
      </c>
      <c r="F259" s="143">
        <v>628917.63425253332</v>
      </c>
    </row>
    <row r="260" spans="4:6" x14ac:dyDescent="0.3">
      <c r="D260" s="144">
        <v>0.42249999999999999</v>
      </c>
      <c r="E260" s="143">
        <v>16807927.437366012</v>
      </c>
      <c r="F260" s="143">
        <v>638269.28940011188</v>
      </c>
    </row>
    <row r="261" spans="4:6" x14ac:dyDescent="0.3">
      <c r="D261" s="144">
        <v>0.42499999999999999</v>
      </c>
      <c r="E261" s="143">
        <v>16718937.075129397</v>
      </c>
      <c r="F261" s="143">
        <v>647645.52290609106</v>
      </c>
    </row>
    <row r="262" spans="4:6" x14ac:dyDescent="0.3">
      <c r="D262" s="144">
        <v>0.42749999999999999</v>
      </c>
      <c r="E262" s="143">
        <v>16630683.863594301</v>
      </c>
      <c r="F262" s="143">
        <v>657045.33051457256</v>
      </c>
    </row>
    <row r="263" spans="4:6" x14ac:dyDescent="0.3">
      <c r="D263" s="144">
        <v>0.43</v>
      </c>
      <c r="E263" s="143">
        <v>16543158.532565236</v>
      </c>
      <c r="F263" s="143">
        <v>666467.71798752248</v>
      </c>
    </row>
    <row r="264" spans="4:6" x14ac:dyDescent="0.3">
      <c r="D264" s="144">
        <v>0.43250000000000099</v>
      </c>
      <c r="E264" s="143">
        <v>16456351.972793486</v>
      </c>
      <c r="F264" s="143">
        <v>675911.70117743686</v>
      </c>
    </row>
    <row r="265" spans="4:6" x14ac:dyDescent="0.3">
      <c r="D265" s="144">
        <v>0.435</v>
      </c>
      <c r="E265" s="143">
        <v>16370255.232555712</v>
      </c>
      <c r="F265" s="143">
        <v>685376.30609390698</v>
      </c>
    </row>
    <row r="266" spans="4:6" x14ac:dyDescent="0.3">
      <c r="D266" s="144">
        <v>0.4375</v>
      </c>
      <c r="E266" s="143">
        <v>16284859.514313921</v>
      </c>
      <c r="F266" s="143">
        <v>694860.56896439195</v>
      </c>
    </row>
    <row r="267" spans="4:6" x14ac:dyDescent="0.3">
      <c r="D267" s="144">
        <v>0.44</v>
      </c>
      <c r="E267" s="143">
        <v>16200156.171456059</v>
      </c>
      <c r="F267" s="143">
        <v>704363.53628913499</v>
      </c>
    </row>
    <row r="268" spans="4:6" x14ac:dyDescent="0.3">
      <c r="D268" s="144">
        <v>0.442500000000001</v>
      </c>
      <c r="E268" s="143">
        <v>16116136.705113716</v>
      </c>
      <c r="F268" s="143">
        <v>713884.2648906</v>
      </c>
    </row>
    <row r="269" spans="4:6" x14ac:dyDescent="0.3">
      <c r="D269" s="144">
        <v>0.44500000000000001</v>
      </c>
      <c r="E269" s="143">
        <v>16032792.76105611</v>
      </c>
      <c r="F269" s="143">
        <v>723421.82195736654</v>
      </c>
    </row>
    <row r="270" spans="4:6" x14ac:dyDescent="0.3">
      <c r="D270" s="144">
        <v>0.44750000000000001</v>
      </c>
      <c r="E270" s="143">
        <v>15950116.126657316</v>
      </c>
      <c r="F270" s="143">
        <v>732975.28508274816</v>
      </c>
    </row>
    <row r="271" spans="4:6" x14ac:dyDescent="0.3">
      <c r="D271" s="144">
        <v>0.45</v>
      </c>
      <c r="E271" s="143">
        <v>15868098.727936074</v>
      </c>
      <c r="F271" s="143">
        <v>742543.74229827151</v>
      </c>
    </row>
    <row r="272" spans="4:6" x14ac:dyDescent="0.3">
      <c r="D272" s="144">
        <v>0.45250000000000101</v>
      </c>
      <c r="E272" s="143">
        <v>15786732.626665181</v>
      </c>
      <c r="F272" s="143">
        <v>752126.29210206494</v>
      </c>
    </row>
    <row r="273" spans="4:6" x14ac:dyDescent="0.3">
      <c r="D273" s="144">
        <v>0.45500000000000002</v>
      </c>
      <c r="E273" s="143">
        <v>15706010.017549533</v>
      </c>
      <c r="F273" s="143">
        <v>761722.04348241724</v>
      </c>
    </row>
    <row r="274" spans="4:6" x14ac:dyDescent="0.3">
      <c r="D274" s="144">
        <v>0.45750000000000002</v>
      </c>
      <c r="E274" s="143">
        <v>15625923.225470243</v>
      </c>
      <c r="F274" s="143">
        <v>771330.11593656801</v>
      </c>
    </row>
    <row r="275" spans="4:6" x14ac:dyDescent="0.3">
      <c r="D275" s="144">
        <v>0.46</v>
      </c>
      <c r="E275" s="143">
        <v>15546464.702794157</v>
      </c>
      <c r="F275" s="143">
        <v>780949.63948494196</v>
      </c>
    </row>
    <row r="276" spans="4:6" x14ac:dyDescent="0.3">
      <c r="D276" s="144">
        <v>0.46250000000000102</v>
      </c>
      <c r="E276" s="143">
        <v>15467627.026746146</v>
      </c>
      <c r="F276" s="143">
        <v>790579.7546808403</v>
      </c>
    </row>
    <row r="277" spans="4:6" x14ac:dyDescent="0.3">
      <c r="D277" s="144">
        <v>0.46500000000000002</v>
      </c>
      <c r="E277" s="143">
        <v>15389402.896843277</v>
      </c>
      <c r="F277" s="143">
        <v>800219.61261585727</v>
      </c>
    </row>
    <row r="278" spans="4:6" x14ac:dyDescent="0.3">
      <c r="D278" s="144">
        <v>0.46750000000000003</v>
      </c>
      <c r="E278" s="143">
        <v>15311785.132388532</v>
      </c>
      <c r="F278" s="143">
        <v>809868.37492110394</v>
      </c>
    </row>
    <row r="279" spans="4:6" x14ac:dyDescent="0.3">
      <c r="D279" s="144">
        <v>0.47</v>
      </c>
      <c r="E279" s="143">
        <v>15234766.670023672</v>
      </c>
      <c r="F279" s="143">
        <v>819525.21376435459</v>
      </c>
    </row>
    <row r="280" spans="4:6" x14ac:dyDescent="0.3">
      <c r="D280" s="144">
        <v>0.47250000000000097</v>
      </c>
      <c r="E280" s="143">
        <v>15158340.561338557</v>
      </c>
      <c r="F280" s="143">
        <v>829189.31184324063</v>
      </c>
    </row>
    <row r="281" spans="4:6" x14ac:dyDescent="0.3">
      <c r="D281" s="144">
        <v>0.47499999999999998</v>
      </c>
      <c r="E281" s="143">
        <v>15082499.970536431</v>
      </c>
      <c r="F281" s="143">
        <v>838859.86237469874</v>
      </c>
    </row>
    <row r="282" spans="4:6" x14ac:dyDescent="0.3">
      <c r="D282" s="144">
        <v>0.47749999999999998</v>
      </c>
      <c r="E282" s="143">
        <v>15007238.172152929</v>
      </c>
      <c r="F282" s="143">
        <v>848536.06908070855</v>
      </c>
    </row>
    <row r="283" spans="4:6" x14ac:dyDescent="0.3">
      <c r="D283" s="144">
        <v>0.48</v>
      </c>
      <c r="E283" s="143">
        <v>14932548.548828382</v>
      </c>
      <c r="F283" s="143">
        <v>858217.1461704988</v>
      </c>
    </row>
    <row r="284" spans="4:6" x14ac:dyDescent="0.3">
      <c r="D284" s="144">
        <v>0.48250000000000098</v>
      </c>
      <c r="E284" s="143">
        <v>14858424.58913124</v>
      </c>
      <c r="F284" s="143">
        <v>867902.31831930019</v>
      </c>
    </row>
    <row r="285" spans="4:6" x14ac:dyDescent="0.3">
      <c r="D285" s="144">
        <v>0.48499999999999999</v>
      </c>
      <c r="E285" s="143">
        <v>14784859.885431916</v>
      </c>
      <c r="F285" s="143">
        <v>877590.82064384967</v>
      </c>
    </row>
    <row r="286" spans="4:6" x14ac:dyDescent="0.3">
      <c r="D286" s="144">
        <v>0.48749999999999999</v>
      </c>
      <c r="E286" s="143">
        <v>14711848.131825158</v>
      </c>
      <c r="F286" s="143">
        <v>887281.8986746259</v>
      </c>
    </row>
    <row r="287" spans="4:6" x14ac:dyDescent="0.3">
      <c r="D287" s="144">
        <v>0.49000000000000099</v>
      </c>
      <c r="E287" s="143">
        <v>14639383.122100603</v>
      </c>
      <c r="F287" s="143">
        <v>896974.80832516588</v>
      </c>
    </row>
    <row r="288" spans="4:6" x14ac:dyDescent="0.3">
      <c r="D288" s="144">
        <v>0.49250000000000099</v>
      </c>
      <c r="E288" s="143">
        <v>14567458.74775961</v>
      </c>
      <c r="F288" s="143">
        <v>906668.81585821323</v>
      </c>
    </row>
    <row r="289" spans="4:6" x14ac:dyDescent="0.3">
      <c r="D289" s="144">
        <v>0.49500000000000099</v>
      </c>
      <c r="E289" s="143">
        <v>14496068.996077236</v>
      </c>
      <c r="F289" s="143">
        <v>916363.19784925692</v>
      </c>
    </row>
    <row r="290" spans="4:6" x14ac:dyDescent="0.3">
      <c r="D290" s="144">
        <v>0.4975</v>
      </c>
      <c r="E290" s="143">
        <v>14425207.948208774</v>
      </c>
      <c r="F290" s="143">
        <v>926057.24114715867</v>
      </c>
    </row>
    <row r="291" spans="4:6" x14ac:dyDescent="0.3">
      <c r="D291" s="144">
        <v>0.500000000000001</v>
      </c>
      <c r="E291" s="143">
        <v>14354869.777339038</v>
      </c>
      <c r="F291" s="143">
        <v>935750.24283228815</v>
      </c>
    </row>
    <row r="292" spans="4:6" x14ac:dyDescent="0.3">
      <c r="D292" s="144">
        <v>0.50250000000000095</v>
      </c>
      <c r="E292" s="143">
        <v>14285048.74687415</v>
      </c>
      <c r="F292" s="143">
        <v>945441.51017205045</v>
      </c>
    </row>
    <row r="293" spans="4:6" x14ac:dyDescent="0.3">
      <c r="D293" s="144">
        <v>0.505000000000001</v>
      </c>
      <c r="E293" s="143">
        <v>14215739.208673777</v>
      </c>
      <c r="F293" s="143">
        <v>955130.36057403497</v>
      </c>
    </row>
    <row r="294" spans="4:6" x14ac:dyDescent="0.3">
      <c r="D294" s="144">
        <v>0.50749999999999995</v>
      </c>
      <c r="E294" s="143">
        <v>14146935.601323752</v>
      </c>
      <c r="F294" s="143">
        <v>964816.12153690867</v>
      </c>
    </row>
    <row r="295" spans="4:6" x14ac:dyDescent="0.3">
      <c r="D295" s="144">
        <v>0.51000000000000101</v>
      </c>
      <c r="E295" s="143">
        <v>14078632.448447369</v>
      </c>
      <c r="F295" s="143">
        <v>974498.13059899583</v>
      </c>
    </row>
    <row r="296" spans="4:6" x14ac:dyDescent="0.3">
      <c r="D296" s="144">
        <v>0.51250000000000095</v>
      </c>
      <c r="E296" s="143">
        <v>14010824.357055159</v>
      </c>
      <c r="F296" s="143">
        <v>984175.7352848053</v>
      </c>
    </row>
    <row r="297" spans="4:6" x14ac:dyDescent="0.3">
      <c r="D297" s="144">
        <v>0.51500000000000101</v>
      </c>
      <c r="E297" s="143">
        <v>13943506.015931165</v>
      </c>
      <c r="F297" s="143">
        <v>993848.29304954596</v>
      </c>
    </row>
    <row r="298" spans="4:6" x14ac:dyDescent="0.3">
      <c r="D298" s="144">
        <v>0.51749999999999996</v>
      </c>
      <c r="E298" s="143">
        <v>13876672.194055866</v>
      </c>
      <c r="F298" s="143">
        <v>1003515.1712216791</v>
      </c>
    </row>
    <row r="299" spans="4:6" x14ac:dyDescent="0.3">
      <c r="D299" s="144">
        <v>0.52000000000000102</v>
      </c>
      <c r="E299" s="143">
        <v>13810317.73906404</v>
      </c>
      <c r="F299" s="143">
        <v>1013175.7469436545</v>
      </c>
    </row>
    <row r="300" spans="4:6" x14ac:dyDescent="0.3">
      <c r="D300" s="144">
        <v>0.52250000000000096</v>
      </c>
      <c r="E300" s="143">
        <v>13744437.575737499</v>
      </c>
      <c r="F300" s="143">
        <v>1022829.4071108494</v>
      </c>
    </row>
    <row r="301" spans="4:6" x14ac:dyDescent="0.3">
      <c r="D301" s="144">
        <v>0.52500000000000102</v>
      </c>
      <c r="E301" s="143">
        <v>13679026.704530787</v>
      </c>
      <c r="F301" s="143">
        <v>1032475.548308963</v>
      </c>
    </row>
    <row r="302" spans="4:6" x14ac:dyDescent="0.3">
      <c r="D302" s="144">
        <v>0.52749999999999997</v>
      </c>
      <c r="E302" s="143">
        <v>13614080.200130211</v>
      </c>
      <c r="F302" s="143">
        <v>1042113.5767496508</v>
      </c>
    </row>
    <row r="303" spans="4:6" x14ac:dyDescent="0.3">
      <c r="D303" s="144">
        <v>0.53000000000000103</v>
      </c>
      <c r="E303" s="143">
        <v>13549593.210044339</v>
      </c>
      <c r="F303" s="143">
        <v>1051742.9082048424</v>
      </c>
    </row>
    <row r="304" spans="4:6" x14ac:dyDescent="0.3">
      <c r="D304" s="144">
        <v>0.53250000000000097</v>
      </c>
      <c r="E304" s="143">
        <v>13485560.95322622</v>
      </c>
      <c r="F304" s="143">
        <v>1061362.9679394849</v>
      </c>
    </row>
    <row r="305" spans="4:6" x14ac:dyDescent="0.3">
      <c r="D305" s="144">
        <v>0.53500000000000103</v>
      </c>
      <c r="E305" s="143">
        <v>13421978.718725428</v>
      </c>
      <c r="F305" s="143">
        <v>1070973.190643033</v>
      </c>
    </row>
    <row r="306" spans="4:6" x14ac:dyDescent="0.3">
      <c r="D306" s="144">
        <v>0.53749999999999998</v>
      </c>
      <c r="E306" s="143">
        <v>13358841.86437026</v>
      </c>
      <c r="F306" s="143">
        <v>1080573.0203596372</v>
      </c>
    </row>
    <row r="307" spans="4:6" x14ac:dyDescent="0.3">
      <c r="D307" s="144">
        <v>0.54000000000000103</v>
      </c>
      <c r="E307" s="143">
        <v>13296145.815478511</v>
      </c>
      <c r="F307" s="143">
        <v>1090161.9104171544</v>
      </c>
    </row>
    <row r="308" spans="4:6" x14ac:dyDescent="0.3">
      <c r="D308" s="144">
        <v>0.54250000000000098</v>
      </c>
      <c r="E308" s="143">
        <v>13233886.063596983</v>
      </c>
      <c r="F308" s="143">
        <v>1099739.3233550098</v>
      </c>
    </row>
    <row r="309" spans="4:6" x14ac:dyDescent="0.3">
      <c r="D309" s="144">
        <v>0.54500000000000104</v>
      </c>
      <c r="E309" s="143">
        <v>13172058.165268049</v>
      </c>
      <c r="F309" s="143">
        <v>1109304.7308509722</v>
      </c>
    </row>
    <row r="310" spans="4:6" x14ac:dyDescent="0.3">
      <c r="D310" s="144">
        <v>0.54749999999999999</v>
      </c>
      <c r="E310" s="143">
        <v>13110657.740823472</v>
      </c>
      <c r="F310" s="143">
        <v>1118857.6136470716</v>
      </c>
    </row>
    <row r="311" spans="4:6" x14ac:dyDescent="0.3">
      <c r="D311" s="144">
        <v>0.55000000000000104</v>
      </c>
      <c r="E311" s="143">
        <v>13049680.473204296</v>
      </c>
      <c r="F311" s="143">
        <v>1128397.4614743795</v>
      </c>
    </row>
    <row r="312" spans="4:6" x14ac:dyDescent="0.3">
      <c r="D312" s="144">
        <v>0.55250000000000099</v>
      </c>
      <c r="E312" s="143">
        <v>12989122.106806654</v>
      </c>
      <c r="F312" s="143">
        <v>1137923.7729771212</v>
      </c>
    </row>
    <row r="313" spans="4:6" x14ac:dyDescent="0.3">
      <c r="D313" s="144">
        <v>0.55500000000000105</v>
      </c>
      <c r="E313" s="143">
        <v>12928978.446352147</v>
      </c>
      <c r="F313" s="143">
        <v>1147436.0556359217</v>
      </c>
    </row>
    <row r="314" spans="4:6" x14ac:dyDescent="0.3">
      <c r="D314" s="144">
        <v>0.55750000000000099</v>
      </c>
      <c r="E314" s="143">
        <v>12869245.355783045</v>
      </c>
      <c r="F314" s="143">
        <v>1156933.8256902117</v>
      </c>
    </row>
    <row r="315" spans="4:6" x14ac:dyDescent="0.3">
      <c r="D315" s="144">
        <v>0.56000000000000105</v>
      </c>
      <c r="E315" s="143">
        <v>12809918.757181106</v>
      </c>
      <c r="F315" s="143">
        <v>1166416.6080601197</v>
      </c>
    </row>
    <row r="316" spans="4:6" x14ac:dyDescent="0.3">
      <c r="D316" s="144">
        <v>0.562500000000001</v>
      </c>
      <c r="E316" s="143">
        <v>12750994.629709719</v>
      </c>
      <c r="F316" s="143">
        <v>1175883.9362676181</v>
      </c>
    </row>
    <row r="317" spans="4:6" x14ac:dyDescent="0.3">
      <c r="D317" s="144">
        <v>0.56500000000000095</v>
      </c>
      <c r="E317" s="143">
        <v>12692469.008578746</v>
      </c>
      <c r="F317" s="143">
        <v>1185335.3523571063</v>
      </c>
    </row>
    <row r="318" spans="4:6" x14ac:dyDescent="0.3">
      <c r="D318" s="144">
        <v>0.567500000000001</v>
      </c>
      <c r="E318" s="143">
        <v>12634337.984031554</v>
      </c>
      <c r="F318" s="143">
        <v>1194770.4068155307</v>
      </c>
    </row>
    <row r="319" spans="4:6" x14ac:dyDescent="0.3">
      <c r="D319" s="144">
        <v>0.57000000000000095</v>
      </c>
      <c r="E319" s="143">
        <v>12576597.700353647</v>
      </c>
      <c r="F319" s="143">
        <v>1204188.6584919859</v>
      </c>
    </row>
    <row r="320" spans="4:6" x14ac:dyDescent="0.3">
      <c r="D320" s="144">
        <v>0.57250000000000101</v>
      </c>
      <c r="E320" s="143">
        <v>12519244.354902467</v>
      </c>
      <c r="F320" s="143">
        <v>1213589.6745168772</v>
      </c>
    </row>
    <row r="321" spans="4:6" x14ac:dyDescent="0.3">
      <c r="D321" s="144">
        <v>0.57500000000000095</v>
      </c>
      <c r="E321" s="143">
        <v>12462274.197157815</v>
      </c>
      <c r="F321" s="143">
        <v>1222973.0302207433</v>
      </c>
    </row>
    <row r="322" spans="4:6" x14ac:dyDescent="0.3">
      <c r="D322" s="144">
        <v>0.57750000000000101</v>
      </c>
      <c r="E322" s="143">
        <v>12405683.527792379</v>
      </c>
      <c r="F322" s="143">
        <v>1232338.3090527747</v>
      </c>
    </row>
    <row r="323" spans="4:6" x14ac:dyDescent="0.3">
      <c r="D323" s="144">
        <v>0.58000000000000096</v>
      </c>
      <c r="E323" s="143">
        <v>12349468.697761985</v>
      </c>
      <c r="F323" s="143">
        <v>1241685.102498956</v>
      </c>
    </row>
    <row r="324" spans="4:6" x14ac:dyDescent="0.3">
      <c r="D324" s="144">
        <v>0.58250000000000102</v>
      </c>
      <c r="E324" s="143">
        <v>12293626.107415013</v>
      </c>
      <c r="F324" s="143">
        <v>1251013.0100000612</v>
      </c>
    </row>
    <row r="325" spans="4:6" x14ac:dyDescent="0.3">
      <c r="D325" s="144">
        <v>0.58500000000000096</v>
      </c>
      <c r="E325" s="143">
        <v>12238152.205620579</v>
      </c>
      <c r="F325" s="143">
        <v>1260321.6388693824</v>
      </c>
    </row>
    <row r="326" spans="4:6" x14ac:dyDescent="0.3">
      <c r="D326" s="144">
        <v>0.58750000000000102</v>
      </c>
      <c r="E326" s="143">
        <v>12183043.488914987</v>
      </c>
      <c r="F326" s="143">
        <v>1269610.6042103805</v>
      </c>
    </row>
    <row r="327" spans="4:6" x14ac:dyDescent="0.3">
      <c r="D327" s="144">
        <v>0.59000000000000097</v>
      </c>
      <c r="E327" s="143">
        <v>12128296.500666182</v>
      </c>
      <c r="F327" s="143">
        <v>1278879.5288340636</v>
      </c>
    </row>
    <row r="328" spans="4:6" x14ac:dyDescent="0.3">
      <c r="D328" s="144">
        <v>0.59250000000000103</v>
      </c>
      <c r="E328" s="143">
        <v>12073907.830255505</v>
      </c>
      <c r="F328" s="143">
        <v>1288128.043176474</v>
      </c>
    </row>
    <row r="329" spans="4:6" x14ac:dyDescent="0.3">
      <c r="D329" s="144">
        <v>0.59500000000000097</v>
      </c>
      <c r="E329" s="143">
        <v>12019874.112276636</v>
      </c>
      <c r="F329" s="143">
        <v>1297355.785215959</v>
      </c>
    </row>
    <row r="330" spans="4:6" x14ac:dyDescent="0.3">
      <c r="D330" s="144">
        <v>0.59750000000000103</v>
      </c>
      <c r="E330" s="143">
        <v>11966192.025751144</v>
      </c>
      <c r="F330" s="143">
        <v>1306562.4003905207</v>
      </c>
    </row>
    <row r="331" spans="4:6" x14ac:dyDescent="0.3">
      <c r="D331" s="144">
        <v>0.60000000000000098</v>
      </c>
      <c r="E331" s="143">
        <v>11912858.293360326</v>
      </c>
      <c r="F331" s="143">
        <v>1315747.5415151659</v>
      </c>
    </row>
    <row r="332" spans="4:6" x14ac:dyDescent="0.3">
      <c r="D332" s="144">
        <v>0.60250000000000103</v>
      </c>
      <c r="E332" s="143">
        <v>11859869.680692891</v>
      </c>
      <c r="F332" s="143">
        <v>1324910.8686992936</v>
      </c>
    </row>
    <row r="333" spans="4:6" x14ac:dyDescent="0.3">
      <c r="D333" s="144">
        <v>0.60500000000000098</v>
      </c>
      <c r="E333" s="143">
        <v>11807222.995508276</v>
      </c>
      <c r="F333" s="143">
        <v>1334052.0492641591</v>
      </c>
    </row>
    <row r="334" spans="4:6" x14ac:dyDescent="0.3">
      <c r="D334" s="144">
        <v>0.60750000000000104</v>
      </c>
      <c r="E334" s="143">
        <v>11754915.087015022</v>
      </c>
      <c r="F334" s="143">
        <v>1343170.7576604802</v>
      </c>
    </row>
    <row r="335" spans="4:6" x14ac:dyDescent="0.3">
      <c r="D335" s="144">
        <v>0.61000000000000099</v>
      </c>
      <c r="E335" s="143">
        <v>11702942.845164036</v>
      </c>
      <c r="F335" s="143">
        <v>1352266.6753861457</v>
      </c>
    </row>
    <row r="336" spans="4:6" x14ac:dyDescent="0.3">
      <c r="D336" s="144">
        <v>0.61250000000000104</v>
      </c>
      <c r="E336" s="143">
        <v>11651303.199956298</v>
      </c>
      <c r="F336" s="143">
        <v>1361339.4909041412</v>
      </c>
    </row>
    <row r="337" spans="4:6" x14ac:dyDescent="0.3">
      <c r="D337" s="144">
        <v>0.61500000000000099</v>
      </c>
      <c r="E337" s="143">
        <v>11599993.120764744</v>
      </c>
      <c r="F337" s="143">
        <v>1370388.8995605782</v>
      </c>
    </row>
    <row r="338" spans="4:6" x14ac:dyDescent="0.3">
      <c r="D338" s="144">
        <v>0.61750000000000105</v>
      </c>
      <c r="E338" s="143">
        <v>11549009.615669908</v>
      </c>
      <c r="F338" s="143">
        <v>1379414.6035030875</v>
      </c>
    </row>
    <row r="339" spans="4:6" x14ac:dyDescent="0.3">
      <c r="D339" s="144">
        <v>0.62000000000000099</v>
      </c>
      <c r="E339" s="143">
        <v>11498349.730809152</v>
      </c>
      <c r="F339" s="143">
        <v>1388416.3115992881</v>
      </c>
    </row>
    <row r="340" spans="4:6" x14ac:dyDescent="0.3">
      <c r="D340" s="144">
        <v>0.62250000000000105</v>
      </c>
      <c r="E340" s="143">
        <v>11448010.549739026</v>
      </c>
      <c r="F340" s="143">
        <v>1397393.7393556274</v>
      </c>
    </row>
    <row r="341" spans="4:6" x14ac:dyDescent="0.3">
      <c r="D341" s="144">
        <v>0.625000000000001</v>
      </c>
      <c r="E341" s="143">
        <v>11397989.192810547</v>
      </c>
      <c r="F341" s="143">
        <v>1406346.6088365112</v>
      </c>
    </row>
    <row r="342" spans="4:6" x14ac:dyDescent="0.3">
      <c r="D342" s="144">
        <v>0.62750000000000095</v>
      </c>
      <c r="E342" s="143">
        <v>11348282.81655705</v>
      </c>
      <c r="F342" s="143">
        <v>1415274.648583699</v>
      </c>
    </row>
    <row r="343" spans="4:6" x14ac:dyDescent="0.3">
      <c r="D343" s="144">
        <v>0.630000000000001</v>
      </c>
      <c r="E343" s="143">
        <v>11298888.613094412</v>
      </c>
      <c r="F343" s="143">
        <v>1424177.5935360268</v>
      </c>
    </row>
    <row r="344" spans="4:6" x14ac:dyDescent="0.3">
      <c r="D344" s="144">
        <v>0.63250000000000095</v>
      </c>
      <c r="E344" s="143">
        <v>11249803.809533251</v>
      </c>
      <c r="F344" s="143">
        <v>1433055.1849495359</v>
      </c>
    </row>
    <row r="345" spans="4:6" x14ac:dyDescent="0.3">
      <c r="D345" s="144">
        <v>0.63500000000000101</v>
      </c>
      <c r="E345" s="143">
        <v>11201025.667402901</v>
      </c>
      <c r="F345" s="143">
        <v>1441907.1703179218</v>
      </c>
    </row>
    <row r="346" spans="4:6" x14ac:dyDescent="0.3">
      <c r="D346" s="144">
        <v>0.63750000000000095</v>
      </c>
      <c r="E346" s="143">
        <v>11152551.482086919</v>
      </c>
      <c r="F346" s="143">
        <v>1450733.3032933548</v>
      </c>
    </row>
    <row r="347" spans="4:6" x14ac:dyDescent="0.3">
      <c r="D347" s="144">
        <v>0.64000000000000101</v>
      </c>
      <c r="E347" s="143">
        <v>11104378.58226976</v>
      </c>
      <c r="F347" s="143">
        <v>1459533.3436077777</v>
      </c>
    </row>
    <row r="348" spans="4:6" x14ac:dyDescent="0.3">
      <c r="D348" s="144">
        <v>0.64250000000000096</v>
      </c>
      <c r="E348" s="143">
        <v>11056504.329394512</v>
      </c>
      <c r="F348" s="143">
        <v>1468307.0569945313</v>
      </c>
    </row>
    <row r="349" spans="4:6" x14ac:dyDescent="0.3">
      <c r="D349" s="144">
        <v>0.64500000000000102</v>
      </c>
      <c r="E349" s="143">
        <v>11008926.11713131</v>
      </c>
      <c r="F349" s="143">
        <v>1477054.2151104715</v>
      </c>
    </row>
    <row r="350" spans="4:6" x14ac:dyDescent="0.3">
      <c r="D350" s="144">
        <v>0.64750000000000096</v>
      </c>
      <c r="E350" s="143">
        <v>10961641.370856278</v>
      </c>
      <c r="F350" s="143">
        <v>1485774.5954585224</v>
      </c>
    </row>
    <row r="351" spans="4:6" x14ac:dyDescent="0.3">
      <c r="D351" s="144">
        <v>0.65000000000000102</v>
      </c>
      <c r="E351" s="143">
        <v>10914647.547140693</v>
      </c>
      <c r="F351" s="143">
        <v>1494467.981310688</v>
      </c>
    </row>
    <row r="352" spans="4:6" x14ac:dyDescent="0.3">
      <c r="D352" s="144">
        <v>0.65250000000000097</v>
      </c>
      <c r="E352" s="143">
        <v>10867942.13325025</v>
      </c>
      <c r="F352" s="143">
        <v>1503134.1616315302</v>
      </c>
    </row>
    <row r="353" spans="4:6" x14ac:dyDescent="0.3">
      <c r="D353" s="144">
        <v>0.65500000000000103</v>
      </c>
      <c r="E353" s="143">
        <v>10821522.64665406</v>
      </c>
      <c r="F353" s="143">
        <v>1511772.9310021512</v>
      </c>
    </row>
    <row r="354" spans="4:6" x14ac:dyDescent="0.3">
      <c r="D354" s="144">
        <v>0.65750000000000097</v>
      </c>
      <c r="E354" s="143">
        <v>10775386.634543277</v>
      </c>
      <c r="F354" s="143">
        <v>1520384.08954468</v>
      </c>
    </row>
    <row r="355" spans="4:6" x14ac:dyDescent="0.3">
      <c r="D355" s="144">
        <v>0.66000000000000103</v>
      </c>
      <c r="E355" s="143">
        <v>10729531.673359115</v>
      </c>
      <c r="F355" s="143">
        <v>1528967.4428472165</v>
      </c>
    </row>
    <row r="356" spans="4:6" x14ac:dyDescent="0.3">
      <c r="D356" s="144">
        <v>0.66250000000000098</v>
      </c>
      <c r="E356" s="143">
        <v>10683955.368329989</v>
      </c>
      <c r="F356" s="143">
        <v>1537522.801889386</v>
      </c>
    </row>
    <row r="357" spans="4:6" x14ac:dyDescent="0.3">
      <c r="D357" s="144">
        <v>0.66500000000000103</v>
      </c>
      <c r="E357" s="143">
        <v>10638655.353017645</v>
      </c>
      <c r="F357" s="143">
        <v>1546049.982968362</v>
      </c>
    </row>
    <row r="358" spans="4:6" x14ac:dyDescent="0.3">
      <c r="D358" s="144">
        <v>0.66750000000000098</v>
      </c>
      <c r="E358" s="143">
        <v>10593629.288872104</v>
      </c>
      <c r="F358" s="143">
        <v>1554548.8076254074</v>
      </c>
    </row>
    <row r="359" spans="4:6" x14ac:dyDescent="0.3">
      <c r="D359" s="144">
        <v>0.67000000000000104</v>
      </c>
      <c r="E359" s="143">
        <v>10548874.864795076</v>
      </c>
      <c r="F359" s="143">
        <v>1563019.1025730651</v>
      </c>
    </row>
    <row r="360" spans="4:6" x14ac:dyDescent="0.3">
      <c r="D360" s="144">
        <v>0.67250000000000099</v>
      </c>
      <c r="E360" s="143">
        <v>10504389.796711879</v>
      </c>
      <c r="F360" s="143">
        <v>1571460.699622767</v>
      </c>
    </row>
    <row r="361" spans="4:6" x14ac:dyDescent="0.3">
      <c r="D361" s="144">
        <v>0.67500000000000104</v>
      </c>
      <c r="E361" s="143">
        <v>10460171.827151464</v>
      </c>
      <c r="F361" s="143">
        <v>1579873.4356131386</v>
      </c>
    </row>
    <row r="362" spans="4:6" x14ac:dyDescent="0.3">
      <c r="D362" s="144">
        <v>0.67750000000000099</v>
      </c>
      <c r="E362" s="143">
        <v>10416218.724834524</v>
      </c>
      <c r="F362" s="143">
        <v>1588257.1523387898</v>
      </c>
    </row>
    <row r="363" spans="4:6" x14ac:dyDescent="0.3">
      <c r="D363" s="144">
        <v>0.68000000000000105</v>
      </c>
      <c r="E363" s="143">
        <v>10372528.284269422</v>
      </c>
      <c r="F363" s="143">
        <v>1596611.6964797266</v>
      </c>
    </row>
    <row r="364" spans="4:6" x14ac:dyDescent="0.3">
      <c r="D364" s="144">
        <v>0.68250000000000099</v>
      </c>
      <c r="E364" s="143">
        <v>10329098.325355804</v>
      </c>
      <c r="F364" s="143">
        <v>1604936.9195313025</v>
      </c>
    </row>
    <row r="365" spans="4:6" x14ac:dyDescent="0.3">
      <c r="D365" s="144">
        <v>0.68500000000000105</v>
      </c>
      <c r="E365" s="143">
        <v>10285926.692995727</v>
      </c>
      <c r="F365" s="143">
        <v>1613232.6777348202</v>
      </c>
    </row>
    <row r="366" spans="4:6" x14ac:dyDescent="0.3">
      <c r="D366" s="144">
        <v>0.687500000000001</v>
      </c>
      <c r="E366" s="143">
        <v>10243011.256712127</v>
      </c>
      <c r="F366" s="143">
        <v>1621498.832008671</v>
      </c>
    </row>
    <row r="367" spans="4:6" x14ac:dyDescent="0.3">
      <c r="D367" s="144">
        <v>0.69000000000000095</v>
      </c>
      <c r="E367" s="143">
        <v>10200349.910274452</v>
      </c>
      <c r="F367" s="143">
        <v>1629735.2478801366</v>
      </c>
    </row>
    <row r="368" spans="4:6" x14ac:dyDescent="0.3">
      <c r="D368" s="144">
        <v>0.692500000000001</v>
      </c>
      <c r="E368" s="143">
        <v>10157940.571331382</v>
      </c>
      <c r="F368" s="143">
        <v>1637941.7954177</v>
      </c>
    </row>
    <row r="369" spans="4:6" x14ac:dyDescent="0.3">
      <c r="D369" s="144">
        <v>0.69500000000000095</v>
      </c>
      <c r="E369" s="143">
        <v>10115781.181050384</v>
      </c>
      <c r="F369" s="143">
        <v>1646118.3491640761</v>
      </c>
    </row>
    <row r="370" spans="4:6" x14ac:dyDescent="0.3">
      <c r="D370" s="144">
        <v>0.69750000000000101</v>
      </c>
      <c r="E370" s="143">
        <v>10073869.703763999</v>
      </c>
      <c r="F370" s="143">
        <v>1654264.7880697604</v>
      </c>
    </row>
    <row r="371" spans="4:6" x14ac:dyDescent="0.3">
      <c r="D371" s="144">
        <v>0.70000000000000095</v>
      </c>
      <c r="E371" s="143">
        <v>10032204.126622742</v>
      </c>
      <c r="F371" s="143">
        <v>1662380.9954272546</v>
      </c>
    </row>
    <row r="372" spans="4:6" x14ac:dyDescent="0.3">
      <c r="D372" s="144">
        <v>0.70250000000000101</v>
      </c>
      <c r="E372" s="143">
        <v>9990782.4592544287</v>
      </c>
      <c r="F372" s="143">
        <v>1670466.8588058688</v>
      </c>
    </row>
    <row r="373" spans="4:6" x14ac:dyDescent="0.3">
      <c r="D373" s="144">
        <v>0.70500000000000096</v>
      </c>
      <c r="E373" s="143">
        <v>9949602.7334298249</v>
      </c>
      <c r="F373" s="143">
        <v>1678522.2699871678</v>
      </c>
    </row>
    <row r="374" spans="4:6" x14ac:dyDescent="0.3">
      <c r="D374" s="144">
        <v>0.70750000000000102</v>
      </c>
      <c r="E374" s="143">
        <v>9908663.0027344394</v>
      </c>
      <c r="F374" s="143">
        <v>1686547.1249010358</v>
      </c>
    </row>
    <row r="375" spans="4:6" x14ac:dyDescent="0.3">
      <c r="D375" s="144">
        <v>0.71000000000000096</v>
      </c>
      <c r="E375" s="143">
        <v>9867961.3422464058</v>
      </c>
      <c r="F375" s="143">
        <v>1694541.3235623334</v>
      </c>
    </row>
    <row r="376" spans="4:6" x14ac:dyDescent="0.3">
      <c r="D376" s="144">
        <v>0.71250000000000102</v>
      </c>
      <c r="E376" s="143">
        <v>9827495.8482202217</v>
      </c>
      <c r="F376" s="143">
        <v>1702504.7700082511</v>
      </c>
    </row>
    <row r="377" spans="4:6" x14ac:dyDescent="0.3">
      <c r="D377" s="144">
        <v>0.71500000000000097</v>
      </c>
      <c r="E377" s="143">
        <v>9787264.6377763357</v>
      </c>
      <c r="F377" s="143">
        <v>1710437.3722361755</v>
      </c>
    </row>
    <row r="378" spans="4:6" x14ac:dyDescent="0.3">
      <c r="D378" s="144">
        <v>0.71750000000000103</v>
      </c>
      <c r="E378" s="143">
        <v>9747265.8485963456</v>
      </c>
      <c r="F378" s="143">
        <v>1718339.0421423167</v>
      </c>
    </row>
    <row r="379" spans="4:6" x14ac:dyDescent="0.3">
      <c r="D379" s="144">
        <v>0.72000000000000097</v>
      </c>
      <c r="E379" s="143">
        <v>9707497.6386237647</v>
      </c>
      <c r="F379" s="143">
        <v>1726209.6954608615</v>
      </c>
    </row>
    <row r="380" spans="4:6" x14ac:dyDescent="0.3">
      <c r="D380" s="144">
        <v>0.72250000000000103</v>
      </c>
      <c r="E380" s="143">
        <v>9667958.1857702415</v>
      </c>
      <c r="F380" s="143">
        <v>1734049.251703769</v>
      </c>
    </row>
    <row r="381" spans="4:6" x14ac:dyDescent="0.3">
      <c r="D381" s="144">
        <v>0.72500000000000098</v>
      </c>
      <c r="E381" s="143">
        <v>9628645.6876270492</v>
      </c>
      <c r="F381" s="143">
        <v>1741857.63410124</v>
      </c>
    </row>
    <row r="382" spans="4:6" x14ac:dyDescent="0.3">
      <c r="D382" s="144">
        <v>0.72750000000000103</v>
      </c>
      <c r="E382" s="143">
        <v>9589558.3611817937</v>
      </c>
      <c r="F382" s="143">
        <v>1749634.769542776</v>
      </c>
    </row>
    <row r="383" spans="4:6" x14ac:dyDescent="0.3">
      <c r="D383" s="144">
        <v>0.73000000000000098</v>
      </c>
      <c r="E383" s="143">
        <v>9550694.4425402377</v>
      </c>
      <c r="F383" s="143">
        <v>1757380.5885188896</v>
      </c>
    </row>
    <row r="384" spans="4:6" x14ac:dyDescent="0.3">
      <c r="D384" s="144">
        <v>0.73250000000000104</v>
      </c>
      <c r="E384" s="143">
        <v>9512052.1866530906</v>
      </c>
      <c r="F384" s="143">
        <v>1765095.0250633713</v>
      </c>
    </row>
    <row r="385" spans="4:6" x14ac:dyDescent="0.3">
      <c r="D385" s="144">
        <v>0.73500000000000099</v>
      </c>
      <c r="E385" s="143">
        <v>9473629.8670476768</v>
      </c>
      <c r="F385" s="143">
        <v>1772778.0166962966</v>
      </c>
    </row>
    <row r="386" spans="4:6" x14ac:dyDescent="0.3">
      <c r="D386" s="144">
        <v>0.73750000000000104</v>
      </c>
      <c r="E386" s="143">
        <v>9435425.7755644079</v>
      </c>
      <c r="F386" s="143">
        <v>1780429.5043675471</v>
      </c>
    </row>
    <row r="387" spans="4:6" x14ac:dyDescent="0.3">
      <c r="D387" s="144">
        <v>0.74000000000000099</v>
      </c>
      <c r="E387" s="143">
        <v>9397438.2220979091</v>
      </c>
      <c r="F387" s="143">
        <v>1788049.4324010387</v>
      </c>
    </row>
    <row r="388" spans="4:6" x14ac:dyDescent="0.3">
      <c r="D388" s="144">
        <v>0.74250000000000105</v>
      </c>
      <c r="E388" s="143">
        <v>9359665.5343427639</v>
      </c>
      <c r="F388" s="143">
        <v>1795637.7484394945</v>
      </c>
    </row>
    <row r="389" spans="4:6" x14ac:dyDescent="0.3">
      <c r="D389" s="144">
        <v>0.74500000000000099</v>
      </c>
      <c r="E389" s="143">
        <v>9322106.0575437266</v>
      </c>
      <c r="F389" s="143">
        <v>1803194.4033899028</v>
      </c>
    </row>
    <row r="390" spans="4:6" x14ac:dyDescent="0.3">
      <c r="D390" s="144">
        <v>0.74750000000000105</v>
      </c>
      <c r="E390" s="143">
        <v>9284758.1542503331</v>
      </c>
      <c r="F390" s="143">
        <v>1810719.3513695449</v>
      </c>
    </row>
    <row r="391" spans="4:6" x14ac:dyDescent="0.3">
      <c r="D391" s="144">
        <v>0.750000000000001</v>
      </c>
      <c r="E391" s="143">
        <v>9247620.204075845</v>
      </c>
      <c r="F391" s="143">
        <v>1818212.549652664</v>
      </c>
    </row>
    <row r="392" spans="4:6" x14ac:dyDescent="0.3">
      <c r="D392" s="144">
        <v>0.75250000000000095</v>
      </c>
      <c r="E392" s="143">
        <v>9210690.603460364</v>
      </c>
      <c r="F392" s="143">
        <v>1825673.9586177506</v>
      </c>
    </row>
    <row r="393" spans="4:6" x14ac:dyDescent="0.3">
      <c r="D393" s="144">
        <v>0.755000000000001</v>
      </c>
      <c r="E393" s="143">
        <v>9173967.7654381301</v>
      </c>
      <c r="F393" s="143">
        <v>1833103.5416953843</v>
      </c>
    </row>
    <row r="394" spans="4:6" x14ac:dyDescent="0.3">
      <c r="D394" s="144">
        <v>0.75750000000000095</v>
      </c>
      <c r="E394" s="143">
        <v>9137450.1194088589</v>
      </c>
      <c r="F394" s="143">
        <v>1840501.2653167751</v>
      </c>
    </row>
    <row r="395" spans="4:6" x14ac:dyDescent="0.3">
      <c r="D395" s="144">
        <v>0.76000000000000101</v>
      </c>
      <c r="E395" s="143">
        <v>9101136.1109129936</v>
      </c>
      <c r="F395" s="143">
        <v>1847867.0988628305</v>
      </c>
    </row>
    <row r="396" spans="4:6" x14ac:dyDescent="0.3">
      <c r="D396" s="144">
        <v>0.76250000000000095</v>
      </c>
      <c r="E396" s="143">
        <v>9065024.2014109269</v>
      </c>
      <c r="F396" s="143">
        <v>1855201.0146138575</v>
      </c>
    </row>
    <row r="397" spans="4:6" x14ac:dyDescent="0.3">
      <c r="D397" s="144">
        <v>0.76500000000000101</v>
      </c>
      <c r="E397" s="143">
        <v>9029112.8680659439</v>
      </c>
      <c r="F397" s="143">
        <v>1862502.9876998682</v>
      </c>
    </row>
    <row r="398" spans="4:6" x14ac:dyDescent="0.3">
      <c r="D398" s="144">
        <v>0.76750000000000096</v>
      </c>
      <c r="E398" s="143">
        <v>8993400.6035309732</v>
      </c>
      <c r="F398" s="143">
        <v>1869772.9960514475</v>
      </c>
    </row>
    <row r="399" spans="4:6" x14ac:dyDescent="0.3">
      <c r="D399" s="144">
        <v>0.77000000000000102</v>
      </c>
      <c r="E399" s="143">
        <v>8957885.9157389253</v>
      </c>
      <c r="F399" s="143">
        <v>1877011.020351259</v>
      </c>
    </row>
    <row r="400" spans="4:6" x14ac:dyDescent="0.3">
      <c r="D400" s="144">
        <v>0.77250000000000096</v>
      </c>
      <c r="E400" s="143">
        <v>8922567.3276966568</v>
      </c>
      <c r="F400" s="143">
        <v>1884217.0439861193</v>
      </c>
    </row>
    <row r="401" spans="4:6" x14ac:dyDescent="0.3">
      <c r="D401" s="144">
        <v>0.77500000000000102</v>
      </c>
      <c r="E401" s="143">
        <v>8887443.377282409</v>
      </c>
      <c r="F401" s="143">
        <v>1891391.0529996511</v>
      </c>
    </row>
    <row r="402" spans="4:6" x14ac:dyDescent="0.3">
      <c r="D402" s="144">
        <v>0.77750000000000097</v>
      </c>
      <c r="E402" s="143">
        <v>8852512.6170467231</v>
      </c>
      <c r="F402" s="143">
        <v>1898533.0360455103</v>
      </c>
    </row>
    <row r="403" spans="4:6" x14ac:dyDescent="0.3">
      <c r="D403" s="144">
        <v>0.78000000000000103</v>
      </c>
      <c r="E403" s="143">
        <v>8817773.6140166894</v>
      </c>
      <c r="F403" s="143">
        <v>1905642.9843412396</v>
      </c>
    </row>
    <row r="404" spans="4:6" x14ac:dyDescent="0.3">
      <c r="D404" s="144">
        <v>0.78250000000000097</v>
      </c>
      <c r="E404" s="143">
        <v>8783224.9495035131</v>
      </c>
      <c r="F404" s="143">
        <v>1912720.8916226327</v>
      </c>
    </row>
    <row r="405" spans="4:6" x14ac:dyDescent="0.3">
      <c r="D405" s="144">
        <v>0.78500000000000103</v>
      </c>
      <c r="E405" s="143">
        <v>8748865.2189133205</v>
      </c>
      <c r="F405" s="143">
        <v>1919766.7540987059</v>
      </c>
    </row>
    <row r="406" spans="4:6" x14ac:dyDescent="0.3">
      <c r="D406" s="144">
        <v>0.78750000000000098</v>
      </c>
      <c r="E406" s="143">
        <v>8714693.0315611362</v>
      </c>
      <c r="F406" s="143">
        <v>1926780.570407249</v>
      </c>
    </row>
    <row r="407" spans="4:6" x14ac:dyDescent="0.3">
      <c r="D407" s="144">
        <v>0.79000000000000103</v>
      </c>
      <c r="E407" s="143">
        <v>8680707.0104879458</v>
      </c>
      <c r="F407" s="143">
        <v>1933762.3415709082</v>
      </c>
    </row>
    <row r="408" spans="4:6" x14ac:dyDescent="0.3">
      <c r="D408" s="144">
        <v>0.79250000000000098</v>
      </c>
      <c r="E408" s="143">
        <v>8646905.7922808509</v>
      </c>
      <c r="F408" s="143">
        <v>1940712.0709538311</v>
      </c>
    </row>
    <row r="409" spans="4:6" x14ac:dyDescent="0.3">
      <c r="D409" s="144">
        <v>0.79500000000000104</v>
      </c>
      <c r="E409" s="143">
        <v>8613288.0268961694</v>
      </c>
      <c r="F409" s="143">
        <v>1947629.7642189059</v>
      </c>
    </row>
    <row r="410" spans="4:6" x14ac:dyDescent="0.3">
      <c r="D410" s="144">
        <v>0.79750000000000099</v>
      </c>
      <c r="E410" s="143">
        <v>8579852.3774854988</v>
      </c>
      <c r="F410" s="143">
        <v>1954515.4292854797</v>
      </c>
    </row>
    <row r="411" spans="4:6" x14ac:dyDescent="0.3">
      <c r="D411" s="144">
        <v>0.80000000000000104</v>
      </c>
      <c r="E411" s="143">
        <v>8546597.5202245973</v>
      </c>
      <c r="F411" s="143">
        <v>1961369.0762877204</v>
      </c>
    </row>
    <row r="412" spans="4:6" x14ac:dyDescent="0.3">
      <c r="D412" s="144">
        <v>0.80250000000000099</v>
      </c>
      <c r="E412" s="143">
        <v>8513522.1441451684</v>
      </c>
      <c r="F412" s="143">
        <v>1968190.717533417</v>
      </c>
    </row>
    <row r="413" spans="4:6" x14ac:dyDescent="0.3">
      <c r="D413" s="144">
        <v>0.80500000000000105</v>
      </c>
      <c r="E413" s="143">
        <v>8480624.950969303</v>
      </c>
      <c r="F413" s="143">
        <v>1974980.367463408</v>
      </c>
    </row>
    <row r="414" spans="4:6" x14ac:dyDescent="0.3">
      <c r="D414" s="144">
        <v>0.80750000000000099</v>
      </c>
      <c r="E414" s="143">
        <v>8447904.6549467091</v>
      </c>
      <c r="F414" s="143">
        <v>1981738.0426114649</v>
      </c>
    </row>
    <row r="415" spans="4:6" x14ac:dyDescent="0.3">
      <c r="D415" s="144">
        <v>0.81000000000000105</v>
      </c>
      <c r="E415" s="143">
        <v>8415359.9826945513</v>
      </c>
      <c r="F415" s="143">
        <v>1988463.7615647726</v>
      </c>
    </row>
    <row r="416" spans="4:6" x14ac:dyDescent="0.3">
      <c r="D416" s="144">
        <v>0.812500000000001</v>
      </c>
      <c r="E416" s="143">
        <v>8382989.6730399076</v>
      </c>
      <c r="F416" s="143">
        <v>1995157.5449249055</v>
      </c>
    </row>
    <row r="417" spans="4:6" x14ac:dyDescent="0.3">
      <c r="D417" s="144">
        <v>0.81500000000000095</v>
      </c>
      <c r="E417" s="143">
        <v>8350792.4768647673</v>
      </c>
      <c r="F417" s="143">
        <v>2001819.4152693087</v>
      </c>
    </row>
    <row r="418" spans="4:6" x14ac:dyDescent="0.3">
      <c r="D418" s="144">
        <v>0.817500000000001</v>
      </c>
      <c r="E418" s="143">
        <v>8318767.1569535527</v>
      </c>
      <c r="F418" s="143">
        <v>2008449.3971133083</v>
      </c>
    </row>
    <row r="419" spans="4:6" x14ac:dyDescent="0.3">
      <c r="D419" s="144">
        <v>0.82000000000000095</v>
      </c>
      <c r="E419" s="143">
        <v>8286912.4878430702</v>
      </c>
      <c r="F419" s="143">
        <v>2015047.5168726537</v>
      </c>
    </row>
    <row r="420" spans="4:6" x14ac:dyDescent="0.3">
      <c r="D420" s="144">
        <v>0.82250000000000101</v>
      </c>
      <c r="E420" s="143">
        <v>8255227.2556748791</v>
      </c>
      <c r="F420" s="143">
        <v>2021613.8028265396</v>
      </c>
    </row>
    <row r="421" spans="4:6" x14ac:dyDescent="0.3">
      <c r="D421" s="144">
        <v>0.82500000000000095</v>
      </c>
      <c r="E421" s="143">
        <v>8223710.2580500245</v>
      </c>
      <c r="F421" s="143">
        <v>2028148.2850811332</v>
      </c>
    </row>
    <row r="422" spans="4:6" x14ac:dyDescent="0.3">
      <c r="D422" s="144">
        <v>0.82750000000000101</v>
      </c>
      <c r="E422" s="143">
        <v>8192360.3038860867</v>
      </c>
      <c r="F422" s="143">
        <v>2034650.9955336088</v>
      </c>
    </row>
    <row r="423" spans="4:6" x14ac:dyDescent="0.3">
      <c r="D423" s="144">
        <v>0.83000000000000096</v>
      </c>
      <c r="E423" s="143">
        <v>8161176.2132764887</v>
      </c>
      <c r="F423" s="143">
        <v>2041121.9678366892</v>
      </c>
    </row>
    <row r="424" spans="4:6" x14ac:dyDescent="0.3">
      <c r="D424" s="144">
        <v>0.83250000000000102</v>
      </c>
      <c r="E424" s="143">
        <v>8130156.8173520528</v>
      </c>
      <c r="F424" s="143">
        <v>2047561.2373636123</v>
      </c>
    </row>
    <row r="425" spans="4:6" x14ac:dyDescent="0.3">
      <c r="D425" s="144">
        <v>0.83500000000000096</v>
      </c>
      <c r="E425" s="143">
        <v>8099300.9581447318</v>
      </c>
      <c r="F425" s="143">
        <v>2053968.8411736749</v>
      </c>
    </row>
    <row r="426" spans="4:6" x14ac:dyDescent="0.3">
      <c r="D426" s="144">
        <v>0.83750000000000102</v>
      </c>
      <c r="E426" s="143">
        <v>8068607.488453472</v>
      </c>
      <c r="F426" s="143">
        <v>2060344.8179781809</v>
      </c>
    </row>
    <row r="427" spans="4:6" x14ac:dyDescent="0.3">
      <c r="D427" s="144">
        <v>0.84000000000000097</v>
      </c>
      <c r="E427" s="143">
        <v>8038075.2717122138</v>
      </c>
      <c r="F427" s="143">
        <v>2066689.2081068996</v>
      </c>
    </row>
    <row r="428" spans="4:6" x14ac:dyDescent="0.3">
      <c r="D428" s="144">
        <v>0.84250000000000103</v>
      </c>
      <c r="E428" s="143">
        <v>8007703.1818599319</v>
      </c>
      <c r="F428" s="143">
        <v>2073002.0534749655</v>
      </c>
    </row>
    <row r="429" spans="4:6" x14ac:dyDescent="0.3">
      <c r="D429" s="144">
        <v>0.84500000000000097</v>
      </c>
      <c r="E429" s="143">
        <v>7977490.10321269</v>
      </c>
      <c r="F429" s="143">
        <v>2079283.3975503072</v>
      </c>
    </row>
    <row r="430" spans="4:6" x14ac:dyDescent="0.3">
      <c r="D430" s="144">
        <v>0.84750000000000103</v>
      </c>
      <c r="E430" s="143">
        <v>7947434.9303377355</v>
      </c>
      <c r="F430" s="143">
        <v>2085533.2853214303</v>
      </c>
    </row>
    <row r="431" spans="4:6" x14ac:dyDescent="0.3">
      <c r="D431" s="144">
        <v>0.85000000000000098</v>
      </c>
      <c r="E431" s="143">
        <v>7917536.5679294821</v>
      </c>
      <c r="F431" s="143">
        <v>2091751.7632657681</v>
      </c>
    </row>
    <row r="432" spans="4:6" x14ac:dyDescent="0.3">
      <c r="D432" s="144">
        <v>0.85250000000000103</v>
      </c>
      <c r="E432" s="143">
        <v>7887793.9306874359</v>
      </c>
      <c r="F432" s="143">
        <v>2097938.8793184096</v>
      </c>
    </row>
    <row r="433" spans="4:6" x14ac:dyDescent="0.3">
      <c r="D433" s="144">
        <v>0.85500000000000098</v>
      </c>
      <c r="E433" s="143">
        <v>7858205.9431960247</v>
      </c>
      <c r="F433" s="143">
        <v>2104094.6828412935</v>
      </c>
    </row>
    <row r="434" spans="4:6" x14ac:dyDescent="0.3">
      <c r="D434" s="144">
        <v>0.85750000000000104</v>
      </c>
      <c r="E434" s="143">
        <v>7828771.5398062281</v>
      </c>
      <c r="F434" s="143">
        <v>2110219.2245928477</v>
      </c>
    </row>
    <row r="435" spans="4:6" x14ac:dyDescent="0.3">
      <c r="D435" s="144">
        <v>0.86000000000000099</v>
      </c>
      <c r="E435" s="143">
        <v>7799489.6645190353</v>
      </c>
      <c r="F435" s="143">
        <v>2116312.5566980885</v>
      </c>
    </row>
    <row r="436" spans="4:6" x14ac:dyDescent="0.3">
      <c r="D436" s="144">
        <v>0.86250000000000104</v>
      </c>
      <c r="E436" s="143">
        <v>7770359.2708706846</v>
      </c>
      <c r="F436" s="143">
        <v>2122374.7326190816</v>
      </c>
    </row>
    <row r="437" spans="4:6" x14ac:dyDescent="0.3">
      <c r="D437" s="144">
        <v>0.86500000000000099</v>
      </c>
      <c r="E437" s="143">
        <v>7741379.3218196481</v>
      </c>
      <c r="F437" s="143">
        <v>2128405.8071259391</v>
      </c>
    </row>
    <row r="438" spans="4:6" x14ac:dyDescent="0.3">
      <c r="D438" s="144">
        <v>0.86750000000000105</v>
      </c>
      <c r="E438" s="143">
        <v>7712548.7896353137</v>
      </c>
      <c r="F438" s="143">
        <v>2134405.8362681158</v>
      </c>
    </row>
    <row r="439" spans="4:6" x14ac:dyDescent="0.3">
      <c r="D439" s="144">
        <v>0.87000000000000099</v>
      </c>
      <c r="E439" s="143">
        <v>7683866.655788363</v>
      </c>
      <c r="F439" s="143">
        <v>2140374.8773462353</v>
      </c>
    </row>
    <row r="440" spans="4:6" x14ac:dyDescent="0.3">
      <c r="D440" s="144">
        <v>0.87250000000000105</v>
      </c>
      <c r="E440" s="143">
        <v>7655331.910842794</v>
      </c>
      <c r="F440" s="143">
        <v>2146312.9888842562</v>
      </c>
    </row>
    <row r="441" spans="4:6" x14ac:dyDescent="0.3">
      <c r="D441" s="144">
        <v>0.875000000000001</v>
      </c>
      <c r="E441" s="143">
        <v>7626943.5543495696</v>
      </c>
      <c r="F441" s="143">
        <v>2152220.2306020558</v>
      </c>
    </row>
    <row r="442" spans="4:6" x14ac:dyDescent="0.3">
      <c r="D442" s="144">
        <v>0.87750000000000095</v>
      </c>
      <c r="E442" s="143">
        <v>7598700.5947418259</v>
      </c>
      <c r="F442" s="143">
        <v>2158096.6633884953</v>
      </c>
    </row>
    <row r="443" spans="4:6" x14ac:dyDescent="0.3">
      <c r="D443" s="144">
        <v>0.880000000000001</v>
      </c>
      <c r="E443" s="143">
        <v>7570602.0492316885</v>
      </c>
      <c r="F443" s="143">
        <v>2163942.3492747666</v>
      </c>
    </row>
    <row r="444" spans="4:6" x14ac:dyDescent="0.3">
      <c r="D444" s="144">
        <v>0.88250000000000095</v>
      </c>
      <c r="E444" s="143">
        <v>7542646.9437086098</v>
      </c>
      <c r="F444" s="143">
        <v>2169757.3514082041</v>
      </c>
    </row>
    <row r="445" spans="4:6" x14ac:dyDescent="0.3">
      <c r="D445" s="144">
        <v>0.88500000000000101</v>
      </c>
      <c r="E445" s="143">
        <v>7514834.3126391619</v>
      </c>
      <c r="F445" s="143">
        <v>2175541.7340265103</v>
      </c>
    </row>
    <row r="446" spans="4:6" x14ac:dyDescent="0.3">
      <c r="D446" s="144">
        <v>0.88750000000000095</v>
      </c>
      <c r="E446" s="143">
        <v>7487163.1989683975</v>
      </c>
      <c r="F446" s="143">
        <v>2181295.5624322891</v>
      </c>
    </row>
    <row r="447" spans="4:6" x14ac:dyDescent="0.3">
      <c r="D447" s="144">
        <v>0.89000000000000101</v>
      </c>
      <c r="E447" s="143">
        <v>7459632.6540225763</v>
      </c>
      <c r="F447" s="143">
        <v>2187018.9029680472</v>
      </c>
    </row>
    <row r="448" spans="4:6" x14ac:dyDescent="0.3">
      <c r="D448" s="144">
        <v>0.89250000000000096</v>
      </c>
      <c r="E448" s="143">
        <v>7432241.7374133784</v>
      </c>
      <c r="F448" s="143">
        <v>2192711.8229915071</v>
      </c>
    </row>
    <row r="449" spans="4:6" x14ac:dyDescent="0.3">
      <c r="D449" s="144">
        <v>0.89500000000000102</v>
      </c>
      <c r="E449" s="143">
        <v>7404989.5169434864</v>
      </c>
      <c r="F449" s="143">
        <v>2198374.3908513263</v>
      </c>
    </row>
    <row r="450" spans="4:6" x14ac:dyDescent="0.3">
      <c r="D450" s="144">
        <v>0.89750000000000096</v>
      </c>
      <c r="E450" s="143">
        <v>7377875.0685135648</v>
      </c>
      <c r="F450" s="143">
        <v>2204006.675863184</v>
      </c>
    </row>
    <row r="451" spans="4:6" x14ac:dyDescent="0.3">
      <c r="D451" s="144">
        <v>0.90000000000000102</v>
      </c>
      <c r="E451" s="143">
        <v>7350897.4760305574</v>
      </c>
      <c r="F451" s="143">
        <v>2209608.748286224</v>
      </c>
    </row>
    <row r="452" spans="4:6" x14ac:dyDescent="0.3">
      <c r="D452" s="144">
        <v>0.90250000000000097</v>
      </c>
      <c r="E452" s="143">
        <v>7324055.8313173624</v>
      </c>
      <c r="F452" s="143">
        <v>2215180.6792998528</v>
      </c>
    </row>
    <row r="453" spans="4:6" x14ac:dyDescent="0.3">
      <c r="D453" s="144">
        <v>0.90500000000000103</v>
      </c>
      <c r="E453" s="143">
        <v>7297349.2340237666</v>
      </c>
      <c r="F453" s="143">
        <v>2220722.5409809146</v>
      </c>
    </row>
    <row r="454" spans="4:6" x14ac:dyDescent="0.3">
      <c r="D454" s="144">
        <v>0.90750000000000097</v>
      </c>
      <c r="E454" s="143">
        <v>7270776.7915386781</v>
      </c>
      <c r="F454" s="143">
        <v>2226234.4062812068</v>
      </c>
    </row>
    <row r="455" spans="4:6" x14ac:dyDescent="0.3">
      <c r="D455" s="144">
        <v>0.91000000000000103</v>
      </c>
      <c r="E455" s="143">
        <v>7244337.6189036295</v>
      </c>
      <c r="F455" s="143">
        <v>2231716.3490053322</v>
      </c>
    </row>
    <row r="456" spans="4:6" x14ac:dyDescent="0.3">
      <c r="D456" s="144">
        <v>0.91250000000000098</v>
      </c>
      <c r="E456" s="143">
        <v>7218030.8387274994</v>
      </c>
      <c r="F456" s="143">
        <v>2237168.4437889019</v>
      </c>
    </row>
    <row r="457" spans="4:6" x14ac:dyDescent="0.3">
      <c r="D457" s="144">
        <v>0.91500000000000103</v>
      </c>
      <c r="E457" s="143">
        <v>7191855.5811024522</v>
      </c>
      <c r="F457" s="143">
        <v>2242590.7660770947</v>
      </c>
    </row>
    <row r="458" spans="4:6" x14ac:dyDescent="0.3">
      <c r="D458" s="144">
        <v>0.91750000000000098</v>
      </c>
      <c r="E458" s="143">
        <v>7165810.983521088</v>
      </c>
      <c r="F458" s="143">
        <v>2247983.3921035202</v>
      </c>
    </row>
    <row r="459" spans="4:6" x14ac:dyDescent="0.3">
      <c r="D459" s="144">
        <v>0.92000000000000104</v>
      </c>
      <c r="E459" s="143">
        <v>7139896.190794752</v>
      </c>
      <c r="F459" s="143">
        <v>2253346.3988694353</v>
      </c>
    </row>
    <row r="460" spans="4:6" x14ac:dyDescent="0.3">
      <c r="D460" s="144">
        <v>0.92250000000000099</v>
      </c>
      <c r="E460" s="143">
        <v>7114110.3549729865</v>
      </c>
      <c r="F460" s="143">
        <v>2258679.8641232848</v>
      </c>
    </row>
    <row r="461" spans="4:6" x14ac:dyDescent="0.3">
      <c r="D461" s="144">
        <v>0.92500000000000004</v>
      </c>
      <c r="E461" s="143">
        <v>7088452.6352641601</v>
      </c>
      <c r="F461" s="143">
        <v>2263983.8663405422</v>
      </c>
    </row>
    <row r="462" spans="4:6" x14ac:dyDescent="0.3">
      <c r="D462" s="144">
        <v>0.92749999999999999</v>
      </c>
      <c r="E462" s="143">
        <v>7062922.197957119</v>
      </c>
      <c r="F462" s="143">
        <v>2269258.484703932</v>
      </c>
    </row>
    <row r="463" spans="4:6" x14ac:dyDescent="0.3">
      <c r="D463" s="144">
        <v>0.93</v>
      </c>
      <c r="E463" s="143">
        <v>7037518.2163440716</v>
      </c>
      <c r="F463" s="143">
        <v>2274503.7990838531</v>
      </c>
    </row>
    <row r="464" spans="4:6" x14ac:dyDescent="0.3">
      <c r="D464" s="144">
        <v>0.9325</v>
      </c>
      <c r="E464" s="143">
        <v>7012239.8706444167</v>
      </c>
      <c r="F464" s="143">
        <v>2279719.8900192492</v>
      </c>
    </row>
    <row r="465" spans="4:6" x14ac:dyDescent="0.3">
      <c r="D465" s="144">
        <v>0.93500000000000005</v>
      </c>
      <c r="E465" s="143">
        <v>6987086.3479297059</v>
      </c>
      <c r="F465" s="143">
        <v>2284906.8386986712</v>
      </c>
    </row>
    <row r="466" spans="4:6" x14ac:dyDescent="0.3">
      <c r="D466" s="144">
        <v>0.9375</v>
      </c>
      <c r="E466" s="143">
        <v>6962056.8420496127</v>
      </c>
      <c r="F466" s="143">
        <v>2290064.7269417224</v>
      </c>
    </row>
    <row r="467" spans="4:6" x14ac:dyDescent="0.3">
      <c r="D467" s="144">
        <v>0.94</v>
      </c>
      <c r="E467" s="143">
        <v>6937150.5535589419</v>
      </c>
      <c r="F467" s="143">
        <v>2295193.6371807456</v>
      </c>
    </row>
    <row r="468" spans="4:6" x14ac:dyDescent="0.3">
      <c r="D468" s="144">
        <v>0.9425</v>
      </c>
      <c r="E468" s="143">
        <v>6912366.6896456294</v>
      </c>
      <c r="F468" s="143">
        <v>2300293.6524428409</v>
      </c>
    </row>
    <row r="469" spans="4:6" x14ac:dyDescent="0.3">
      <c r="D469" s="144">
        <v>0.94499999999999995</v>
      </c>
      <c r="E469" s="143">
        <v>6887704.4640597431</v>
      </c>
      <c r="F469" s="143">
        <v>2305364.8563321596</v>
      </c>
    </row>
    <row r="470" spans="4:6" x14ac:dyDescent="0.3">
      <c r="D470" s="144">
        <v>0.94750000000000001</v>
      </c>
      <c r="E470" s="143">
        <v>6863163.0970434425</v>
      </c>
      <c r="F470" s="143">
        <v>2310407.3330124887</v>
      </c>
    </row>
    <row r="471" spans="4:6" x14ac:dyDescent="0.3">
      <c r="D471" s="144">
        <v>0.95</v>
      </c>
      <c r="E471" s="143">
        <v>6838741.8152618967</v>
      </c>
      <c r="F471" s="143">
        <v>2315421.1671901364</v>
      </c>
    </row>
    <row r="472" spans="4:6" x14ac:dyDescent="0.3">
      <c r="D472" s="144">
        <v>0.95250000000000001</v>
      </c>
      <c r="E472" s="143">
        <v>6814439.8517351523</v>
      </c>
      <c r="F472" s="143">
        <v>2320406.4440970458</v>
      </c>
    </row>
    <row r="473" spans="4:6" x14ac:dyDescent="0.3">
      <c r="D473" s="144">
        <v>0.95499999999999996</v>
      </c>
      <c r="E473" s="143">
        <v>6790256.4457709007</v>
      </c>
      <c r="F473" s="143">
        <v>2325363.2494742628</v>
      </c>
    </row>
    <row r="474" spans="4:6" x14ac:dyDescent="0.3">
      <c r="D474" s="144">
        <v>0.95750000000000002</v>
      </c>
      <c r="E474" s="143">
        <v>6766190.8428981761</v>
      </c>
      <c r="F474" s="143">
        <v>2330291.6695555868</v>
      </c>
    </row>
    <row r="475" spans="4:6" x14ac:dyDescent="0.3">
      <c r="D475" s="144">
        <v>0.96</v>
      </c>
      <c r="E475" s="143">
        <v>6742242.2948019402</v>
      </c>
      <c r="F475" s="143">
        <v>2335191.7910515843</v>
      </c>
    </row>
    <row r="476" spans="4:6" x14ac:dyDescent="0.3">
      <c r="D476" s="144">
        <v>0.96250000000000002</v>
      </c>
      <c r="E476" s="143">
        <v>6718410.0592585271</v>
      </c>
      <c r="F476" s="143">
        <v>2340063.7011337942</v>
      </c>
    </row>
    <row r="477" spans="4:6" x14ac:dyDescent="0.3">
      <c r="D477" s="144">
        <v>0.96499999999999997</v>
      </c>
      <c r="E477" s="143">
        <v>6694693.400071986</v>
      </c>
      <c r="F477" s="143">
        <v>2344907.4874192271</v>
      </c>
    </row>
    <row r="478" spans="4:6" x14ac:dyDescent="0.3">
      <c r="D478" s="144">
        <v>0.96750000000000003</v>
      </c>
      <c r="E478" s="143">
        <v>6671091.5870112348</v>
      </c>
      <c r="F478" s="143">
        <v>2349723.2379551195</v>
      </c>
    </row>
    <row r="479" spans="4:6" x14ac:dyDescent="0.3">
      <c r="D479" s="144">
        <v>0.97</v>
      </c>
      <c r="E479" s="143">
        <v>6647603.8957480835</v>
      </c>
      <c r="F479" s="143">
        <v>2354511.0412039431</v>
      </c>
    </row>
    <row r="480" spans="4:6" x14ac:dyDescent="0.3">
      <c r="D480" s="144">
        <v>0.97250000000000003</v>
      </c>
      <c r="E480" s="143">
        <v>6624229.6077960432</v>
      </c>
      <c r="F480" s="143">
        <v>2359270.9860286713</v>
      </c>
    </row>
    <row r="481" spans="4:6" x14ac:dyDescent="0.3">
      <c r="D481" s="144">
        <v>0.97499999999999998</v>
      </c>
      <c r="E481" s="143">
        <v>6600968.0104499832</v>
      </c>
      <c r="F481" s="143">
        <v>2364003.1616782732</v>
      </c>
    </row>
    <row r="482" spans="4:6" x14ac:dyDescent="0.3">
      <c r="D482" s="144">
        <v>0.97750000000000004</v>
      </c>
      <c r="E482" s="143">
        <v>6577818.3967265505</v>
      </c>
      <c r="F482" s="143">
        <v>2368707.657773478</v>
      </c>
    </row>
    <row r="483" spans="4:6" x14ac:dyDescent="0.3">
      <c r="D483" s="144">
        <v>0.98</v>
      </c>
      <c r="E483" s="143">
        <v>6554780.0653053839</v>
      </c>
      <c r="F483" s="143">
        <v>2373384.5642927699</v>
      </c>
    </row>
    <row r="484" spans="4:6" x14ac:dyDescent="0.3">
      <c r="D484" s="144">
        <v>0.98250000000000004</v>
      </c>
      <c r="E484" s="143">
        <v>6531852.3204711061</v>
      </c>
      <c r="F484" s="143">
        <v>2378033.9715586044</v>
      </c>
    </row>
    <row r="485" spans="4:6" x14ac:dyDescent="0.3">
      <c r="D485" s="144">
        <v>0.98499999999999999</v>
      </c>
      <c r="E485" s="143">
        <v>6509034.4720560508</v>
      </c>
      <c r="F485" s="143">
        <v>2382655.9702239102</v>
      </c>
    </row>
    <row r="486" spans="4:6" x14ac:dyDescent="0.3">
      <c r="D486" s="144">
        <v>0.98750000000000004</v>
      </c>
      <c r="E486" s="143">
        <v>6486325.8353837607</v>
      </c>
      <c r="F486" s="143">
        <v>2387250.6512587471</v>
      </c>
    </row>
    <row r="487" spans="4:6" x14ac:dyDescent="0.3">
      <c r="D487" s="144">
        <v>0.99</v>
      </c>
      <c r="E487" s="143">
        <v>6463725.7312131925</v>
      </c>
      <c r="F487" s="143">
        <v>2391818.1059372788</v>
      </c>
    </row>
    <row r="488" spans="4:6" x14ac:dyDescent="0.3">
      <c r="D488" s="144">
        <v>0.99250000000000005</v>
      </c>
      <c r="E488" s="143">
        <v>6441233.485683661</v>
      </c>
      <c r="F488" s="143">
        <v>2396358.4258248843</v>
      </c>
    </row>
    <row r="489" spans="4:6" x14ac:dyDescent="0.3">
      <c r="D489" s="144">
        <v>0.995</v>
      </c>
      <c r="E489" s="143">
        <v>6418848.4302605018</v>
      </c>
      <c r="F489" s="143">
        <v>2400871.7027655561</v>
      </c>
    </row>
    <row r="490" spans="4:6" x14ac:dyDescent="0.3">
      <c r="D490" s="144">
        <v>0.99750000000000005</v>
      </c>
      <c r="E490" s="143">
        <v>6396569.9016813859</v>
      </c>
      <c r="F490" s="143">
        <v>2405358.0288695153</v>
      </c>
    </row>
    <row r="491" spans="4:6" x14ac:dyDescent="0.3">
      <c r="D491" s="145">
        <v>1</v>
      </c>
      <c r="E491" s="146">
        <v>6374397.2419033889</v>
      </c>
      <c r="F491" s="146">
        <v>2409817.4965009727</v>
      </c>
    </row>
    <row r="492" spans="4:6" x14ac:dyDescent="0.3">
      <c r="D492" s="149"/>
      <c r="E492" s="148"/>
      <c r="F492" s="147"/>
    </row>
    <row r="493" spans="4:6" x14ac:dyDescent="0.3">
      <c r="D493" s="149"/>
      <c r="E493" s="148"/>
      <c r="F493" s="147"/>
    </row>
    <row r="494" spans="4:6" x14ac:dyDescent="0.3">
      <c r="D494" s="149"/>
      <c r="E494" s="148"/>
      <c r="F494" s="147"/>
    </row>
    <row r="495" spans="4:6" x14ac:dyDescent="0.3">
      <c r="D495" s="149"/>
      <c r="E495" s="148"/>
      <c r="F495" s="147"/>
    </row>
    <row r="496" spans="4:6" x14ac:dyDescent="0.3">
      <c r="D496" s="149"/>
      <c r="E496" s="148"/>
      <c r="F496" s="147"/>
    </row>
    <row r="497" spans="4:6" x14ac:dyDescent="0.3">
      <c r="D497" s="149"/>
      <c r="E497" s="148"/>
      <c r="F497" s="147"/>
    </row>
    <row r="498" spans="4:6" x14ac:dyDescent="0.3">
      <c r="D498" s="149"/>
      <c r="E498" s="148"/>
      <c r="F498" s="147"/>
    </row>
    <row r="499" spans="4:6" x14ac:dyDescent="0.3">
      <c r="D499" s="149"/>
      <c r="E499" s="148"/>
      <c r="F499" s="147"/>
    </row>
    <row r="500" spans="4:6" x14ac:dyDescent="0.3">
      <c r="D500" s="149"/>
      <c r="E500" s="148"/>
      <c r="F500" s="147"/>
    </row>
    <row r="501" spans="4:6" x14ac:dyDescent="0.3">
      <c r="D501" s="149"/>
      <c r="E501" s="148"/>
      <c r="F501" s="147"/>
    </row>
    <row r="502" spans="4:6" x14ac:dyDescent="0.3">
      <c r="D502" s="149"/>
      <c r="E502" s="148"/>
      <c r="F502" s="147"/>
    </row>
    <row r="503" spans="4:6" x14ac:dyDescent="0.3">
      <c r="D503" s="149"/>
      <c r="E503" s="148"/>
      <c r="F503" s="147"/>
    </row>
    <row r="504" spans="4:6" x14ac:dyDescent="0.3">
      <c r="D504" s="149"/>
      <c r="E504" s="148"/>
      <c r="F504" s="147"/>
    </row>
    <row r="505" spans="4:6" x14ac:dyDescent="0.3">
      <c r="D505" s="149"/>
      <c r="E505" s="148"/>
      <c r="F505" s="147"/>
    </row>
    <row r="506" spans="4:6" x14ac:dyDescent="0.3">
      <c r="D506" s="149"/>
      <c r="E506" s="148"/>
      <c r="F506" s="147"/>
    </row>
    <row r="507" spans="4:6" x14ac:dyDescent="0.3">
      <c r="D507" s="149"/>
      <c r="E507" s="148"/>
      <c r="F507" s="147"/>
    </row>
    <row r="508" spans="4:6" x14ac:dyDescent="0.3">
      <c r="D508" s="149"/>
      <c r="E508" s="148"/>
      <c r="F508" s="147"/>
    </row>
    <row r="509" spans="4:6" x14ac:dyDescent="0.3">
      <c r="D509" s="149"/>
      <c r="E509" s="148"/>
      <c r="F509" s="147"/>
    </row>
    <row r="510" spans="4:6" x14ac:dyDescent="0.3">
      <c r="D510" s="149"/>
      <c r="E510" s="148"/>
      <c r="F510" s="147"/>
    </row>
    <row r="511" spans="4:6" x14ac:dyDescent="0.3">
      <c r="D511" s="149"/>
      <c r="E511" s="148"/>
      <c r="F511" s="147"/>
    </row>
    <row r="512" spans="4:6" x14ac:dyDescent="0.3">
      <c r="D512" s="149"/>
      <c r="E512" s="148"/>
      <c r="F512" s="147"/>
    </row>
    <row r="513" spans="4:6" x14ac:dyDescent="0.3">
      <c r="D513" s="149"/>
      <c r="E513" s="148"/>
      <c r="F513" s="147"/>
    </row>
    <row r="514" spans="4:6" x14ac:dyDescent="0.3">
      <c r="D514" s="149"/>
      <c r="E514" s="148"/>
      <c r="F514" s="147"/>
    </row>
    <row r="515" spans="4:6" x14ac:dyDescent="0.3">
      <c r="D515" s="149"/>
      <c r="E515" s="148"/>
      <c r="F515" s="147"/>
    </row>
    <row r="516" spans="4:6" x14ac:dyDescent="0.3">
      <c r="D516" s="149"/>
      <c r="E516" s="148"/>
      <c r="F516" s="147"/>
    </row>
    <row r="517" spans="4:6" x14ac:dyDescent="0.3">
      <c r="D517" s="149"/>
      <c r="E517" s="148"/>
      <c r="F517" s="147"/>
    </row>
    <row r="518" spans="4:6" x14ac:dyDescent="0.3">
      <c r="D518" s="149"/>
      <c r="E518" s="148"/>
      <c r="F518" s="147"/>
    </row>
    <row r="519" spans="4:6" x14ac:dyDescent="0.3">
      <c r="D519" s="149"/>
      <c r="E519" s="148"/>
      <c r="F519" s="147"/>
    </row>
    <row r="520" spans="4:6" x14ac:dyDescent="0.3">
      <c r="D520" s="149"/>
      <c r="E520" s="148"/>
      <c r="F520" s="147"/>
    </row>
    <row r="521" spans="4:6" x14ac:dyDescent="0.3">
      <c r="D521" s="149"/>
      <c r="E521" s="148"/>
      <c r="F521" s="147"/>
    </row>
    <row r="522" spans="4:6" x14ac:dyDescent="0.3">
      <c r="D522" s="149"/>
      <c r="E522" s="148"/>
      <c r="F522" s="147"/>
    </row>
    <row r="523" spans="4:6" x14ac:dyDescent="0.3">
      <c r="D523" s="149"/>
      <c r="E523" s="148"/>
      <c r="F523" s="147"/>
    </row>
    <row r="524" spans="4:6" x14ac:dyDescent="0.3">
      <c r="D524" s="149"/>
      <c r="E524" s="148"/>
      <c r="F524" s="147"/>
    </row>
    <row r="525" spans="4:6" x14ac:dyDescent="0.3">
      <c r="D525" s="149"/>
      <c r="E525" s="148"/>
      <c r="F525" s="147"/>
    </row>
    <row r="526" spans="4:6" x14ac:dyDescent="0.3">
      <c r="D526" s="149"/>
      <c r="E526" s="148"/>
      <c r="F526" s="147"/>
    </row>
    <row r="527" spans="4:6" x14ac:dyDescent="0.3">
      <c r="D527" s="149"/>
      <c r="E527" s="148"/>
      <c r="F527" s="147"/>
    </row>
    <row r="528" spans="4:6" x14ac:dyDescent="0.3">
      <c r="D528" s="149"/>
      <c r="E528" s="148"/>
      <c r="F528" s="147"/>
    </row>
    <row r="529" spans="4:6" x14ac:dyDescent="0.3">
      <c r="D529" s="149"/>
      <c r="E529" s="148"/>
      <c r="F529" s="147"/>
    </row>
    <row r="530" spans="4:6" x14ac:dyDescent="0.3">
      <c r="D530" s="149"/>
      <c r="E530" s="148"/>
      <c r="F530" s="147"/>
    </row>
    <row r="531" spans="4:6" x14ac:dyDescent="0.3">
      <c r="D531" s="149"/>
      <c r="E531" s="148"/>
      <c r="F531" s="147"/>
    </row>
    <row r="532" spans="4:6" x14ac:dyDescent="0.3">
      <c r="D532" s="149"/>
      <c r="E532" s="148"/>
      <c r="F532" s="147"/>
    </row>
    <row r="533" spans="4:6" x14ac:dyDescent="0.3">
      <c r="D533" s="149"/>
      <c r="E533" s="148"/>
      <c r="F533" s="147"/>
    </row>
    <row r="534" spans="4:6" x14ac:dyDescent="0.3">
      <c r="D534" s="149"/>
      <c r="E534" s="148"/>
      <c r="F534" s="147"/>
    </row>
    <row r="535" spans="4:6" x14ac:dyDescent="0.3">
      <c r="D535" s="149"/>
      <c r="E535" s="148"/>
      <c r="F535" s="147"/>
    </row>
    <row r="536" spans="4:6" x14ac:dyDescent="0.3">
      <c r="D536" s="149"/>
      <c r="E536" s="148"/>
      <c r="F536" s="147"/>
    </row>
    <row r="537" spans="4:6" x14ac:dyDescent="0.3">
      <c r="D537" s="149"/>
      <c r="E537" s="148"/>
      <c r="F537" s="147"/>
    </row>
    <row r="538" spans="4:6" x14ac:dyDescent="0.3">
      <c r="D538" s="149"/>
      <c r="E538" s="148"/>
      <c r="F538" s="147"/>
    </row>
    <row r="539" spans="4:6" x14ac:dyDescent="0.3">
      <c r="D539" s="149"/>
      <c r="E539" s="148"/>
      <c r="F539" s="147"/>
    </row>
    <row r="540" spans="4:6" x14ac:dyDescent="0.3">
      <c r="D540" s="149"/>
      <c r="E540" s="148"/>
      <c r="F540" s="147"/>
    </row>
    <row r="541" spans="4:6" x14ac:dyDescent="0.3">
      <c r="D541" s="149"/>
      <c r="E541" s="148"/>
      <c r="F541" s="147"/>
    </row>
    <row r="542" spans="4:6" x14ac:dyDescent="0.3">
      <c r="D542" s="149"/>
      <c r="E542" s="148"/>
      <c r="F542" s="147"/>
    </row>
    <row r="543" spans="4:6" x14ac:dyDescent="0.3">
      <c r="D543" s="149"/>
      <c r="E543" s="148"/>
      <c r="F543" s="147"/>
    </row>
    <row r="544" spans="4:6" x14ac:dyDescent="0.3">
      <c r="D544" s="149"/>
      <c r="E544" s="148"/>
      <c r="F544" s="147"/>
    </row>
    <row r="545" spans="4:6" x14ac:dyDescent="0.3">
      <c r="D545" s="149"/>
      <c r="E545" s="148"/>
      <c r="F545" s="147"/>
    </row>
    <row r="546" spans="4:6" x14ac:dyDescent="0.3">
      <c r="D546" s="149"/>
      <c r="E546" s="148"/>
      <c r="F546" s="147"/>
    </row>
    <row r="547" spans="4:6" x14ac:dyDescent="0.3">
      <c r="D547" s="149"/>
      <c r="E547" s="148"/>
      <c r="F547" s="147"/>
    </row>
    <row r="548" spans="4:6" x14ac:dyDescent="0.3">
      <c r="D548" s="149"/>
      <c r="E548" s="148"/>
      <c r="F548" s="147"/>
    </row>
    <row r="549" spans="4:6" x14ac:dyDescent="0.3">
      <c r="D549" s="149"/>
      <c r="E549" s="148"/>
      <c r="F549" s="147"/>
    </row>
    <row r="550" spans="4:6" x14ac:dyDescent="0.3">
      <c r="D550" s="149"/>
      <c r="E550" s="148"/>
      <c r="F550" s="147"/>
    </row>
    <row r="551" spans="4:6" x14ac:dyDescent="0.3">
      <c r="D551" s="149"/>
      <c r="E551" s="148"/>
      <c r="F551" s="147"/>
    </row>
    <row r="552" spans="4:6" x14ac:dyDescent="0.3">
      <c r="D552" s="149"/>
      <c r="E552" s="148"/>
      <c r="F552" s="147"/>
    </row>
    <row r="553" spans="4:6" x14ac:dyDescent="0.3">
      <c r="D553" s="149"/>
      <c r="E553" s="148"/>
      <c r="F553" s="148"/>
    </row>
    <row r="554" spans="4:6" x14ac:dyDescent="0.3">
      <c r="D554" s="149"/>
      <c r="E554" s="148"/>
      <c r="F554" s="148"/>
    </row>
    <row r="555" spans="4:6" x14ac:dyDescent="0.3">
      <c r="D555" s="21"/>
    </row>
    <row r="556" spans="4:6" x14ac:dyDescent="0.3">
      <c r="D556" s="21"/>
    </row>
    <row r="557" spans="4:6" x14ac:dyDescent="0.3">
      <c r="D557" s="21"/>
    </row>
    <row r="558" spans="4:6" x14ac:dyDescent="0.3">
      <c r="D558" s="21"/>
    </row>
    <row r="559" spans="4:6" x14ac:dyDescent="0.3">
      <c r="D559" s="21"/>
    </row>
    <row r="560" spans="4:6" x14ac:dyDescent="0.3">
      <c r="D560" s="21"/>
    </row>
    <row r="561" spans="4:4" x14ac:dyDescent="0.3">
      <c r="D561" s="21"/>
    </row>
    <row r="562" spans="4:4" x14ac:dyDescent="0.3">
      <c r="D562" s="21"/>
    </row>
    <row r="563" spans="4:4" x14ac:dyDescent="0.3">
      <c r="D563" s="21"/>
    </row>
    <row r="564" spans="4:4" x14ac:dyDescent="0.3">
      <c r="D564" s="21"/>
    </row>
    <row r="565" spans="4:4" x14ac:dyDescent="0.3">
      <c r="D565" s="21"/>
    </row>
    <row r="566" spans="4:4" x14ac:dyDescent="0.3">
      <c r="D566" s="21"/>
    </row>
    <row r="567" spans="4:4" x14ac:dyDescent="0.3">
      <c r="D567" s="21"/>
    </row>
    <row r="568" spans="4:4" x14ac:dyDescent="0.3">
      <c r="D568" s="21"/>
    </row>
    <row r="569" spans="4:4" x14ac:dyDescent="0.3">
      <c r="D569" s="21"/>
    </row>
    <row r="570" spans="4:4" x14ac:dyDescent="0.3">
      <c r="D570" s="21"/>
    </row>
    <row r="571" spans="4:4" x14ac:dyDescent="0.3">
      <c r="D571" s="21"/>
    </row>
    <row r="572" spans="4:4" x14ac:dyDescent="0.3">
      <c r="D572" s="21"/>
    </row>
    <row r="573" spans="4:4" x14ac:dyDescent="0.3">
      <c r="D573" s="21"/>
    </row>
    <row r="574" spans="4:4" x14ac:dyDescent="0.3">
      <c r="D574" s="21"/>
    </row>
    <row r="575" spans="4:4" x14ac:dyDescent="0.3">
      <c r="D575" s="21"/>
    </row>
    <row r="576" spans="4:4" x14ac:dyDescent="0.3">
      <c r="D576" s="21"/>
    </row>
    <row r="577" spans="4:4" x14ac:dyDescent="0.3">
      <c r="D577" s="21"/>
    </row>
    <row r="578" spans="4:4" x14ac:dyDescent="0.3">
      <c r="D578" s="21"/>
    </row>
    <row r="579" spans="4:4" x14ac:dyDescent="0.3">
      <c r="D579" s="21"/>
    </row>
    <row r="580" spans="4:4" x14ac:dyDescent="0.3">
      <c r="D580" s="21"/>
    </row>
    <row r="581" spans="4:4" x14ac:dyDescent="0.3">
      <c r="D581" s="21"/>
    </row>
    <row r="582" spans="4:4" x14ac:dyDescent="0.3">
      <c r="D582" s="21"/>
    </row>
    <row r="583" spans="4:4" x14ac:dyDescent="0.3">
      <c r="D583" s="21"/>
    </row>
    <row r="584" spans="4:4" x14ac:dyDescent="0.3">
      <c r="D584" s="21"/>
    </row>
    <row r="585" spans="4:4" x14ac:dyDescent="0.3">
      <c r="D585" s="21"/>
    </row>
    <row r="586" spans="4:4" x14ac:dyDescent="0.3">
      <c r="D586" s="21"/>
    </row>
    <row r="587" spans="4:4" x14ac:dyDescent="0.3">
      <c r="D587" s="21"/>
    </row>
    <row r="588" spans="4:4" x14ac:dyDescent="0.3">
      <c r="D588" s="21"/>
    </row>
    <row r="589" spans="4:4" x14ac:dyDescent="0.3">
      <c r="D589" s="21"/>
    </row>
    <row r="590" spans="4:4" x14ac:dyDescent="0.3">
      <c r="D590" s="21"/>
    </row>
    <row r="591" spans="4:4" x14ac:dyDescent="0.3">
      <c r="D591" s="21"/>
    </row>
    <row r="592" spans="4:4" x14ac:dyDescent="0.3">
      <c r="D592" s="21"/>
    </row>
    <row r="593" spans="4:4" x14ac:dyDescent="0.3">
      <c r="D593" s="21"/>
    </row>
    <row r="594" spans="4:4" x14ac:dyDescent="0.3">
      <c r="D594" s="21"/>
    </row>
    <row r="595" spans="4:4" x14ac:dyDescent="0.3">
      <c r="D595" s="21"/>
    </row>
    <row r="596" spans="4:4" x14ac:dyDescent="0.3">
      <c r="D596" s="21"/>
    </row>
    <row r="597" spans="4:4" x14ac:dyDescent="0.3">
      <c r="D597" s="21"/>
    </row>
    <row r="598" spans="4:4" x14ac:dyDescent="0.3">
      <c r="D598" s="21"/>
    </row>
    <row r="599" spans="4:4" x14ac:dyDescent="0.3">
      <c r="D599" s="21"/>
    </row>
    <row r="600" spans="4:4" x14ac:dyDescent="0.3">
      <c r="D600" s="21"/>
    </row>
    <row r="601" spans="4:4" x14ac:dyDescent="0.3">
      <c r="D601" s="21"/>
    </row>
    <row r="602" spans="4:4" x14ac:dyDescent="0.3">
      <c r="D602" s="21"/>
    </row>
    <row r="603" spans="4:4" x14ac:dyDescent="0.3">
      <c r="D603" s="21"/>
    </row>
    <row r="604" spans="4:4" x14ac:dyDescent="0.3">
      <c r="D604" s="21"/>
    </row>
    <row r="605" spans="4:4" x14ac:dyDescent="0.3">
      <c r="D605" s="21"/>
    </row>
    <row r="606" spans="4:4" x14ac:dyDescent="0.3">
      <c r="D606" s="21"/>
    </row>
    <row r="607" spans="4:4" x14ac:dyDescent="0.3">
      <c r="D607" s="21"/>
    </row>
    <row r="608" spans="4:4" x14ac:dyDescent="0.3">
      <c r="D608" s="21"/>
    </row>
    <row r="609" spans="4:4" x14ac:dyDescent="0.3">
      <c r="D609" s="21"/>
    </row>
    <row r="610" spans="4:4" x14ac:dyDescent="0.3">
      <c r="D610" s="21"/>
    </row>
    <row r="611" spans="4:4" x14ac:dyDescent="0.3">
      <c r="D611" s="21"/>
    </row>
    <row r="612" spans="4:4" x14ac:dyDescent="0.3">
      <c r="D612" s="21"/>
    </row>
    <row r="613" spans="4:4" x14ac:dyDescent="0.3">
      <c r="D613" s="21"/>
    </row>
    <row r="614" spans="4:4" x14ac:dyDescent="0.3">
      <c r="D614" s="21"/>
    </row>
    <row r="615" spans="4:4" x14ac:dyDescent="0.3">
      <c r="D615" s="21"/>
    </row>
    <row r="616" spans="4:4" x14ac:dyDescent="0.3">
      <c r="D616" s="21"/>
    </row>
    <row r="617" spans="4:4" x14ac:dyDescent="0.3">
      <c r="D617" s="21"/>
    </row>
    <row r="618" spans="4:4" x14ac:dyDescent="0.3">
      <c r="D618" s="21"/>
    </row>
    <row r="619" spans="4:4" x14ac:dyDescent="0.3">
      <c r="D619" s="21"/>
    </row>
    <row r="620" spans="4:4" x14ac:dyDescent="0.3">
      <c r="D620" s="21"/>
    </row>
    <row r="621" spans="4:4" x14ac:dyDescent="0.3">
      <c r="D621" s="21"/>
    </row>
    <row r="622" spans="4:4" x14ac:dyDescent="0.3">
      <c r="D622" s="21"/>
    </row>
    <row r="623" spans="4:4" x14ac:dyDescent="0.3">
      <c r="D623" s="21"/>
    </row>
    <row r="624" spans="4:4" x14ac:dyDescent="0.3">
      <c r="D624" s="21"/>
    </row>
    <row r="625" spans="4:4" x14ac:dyDescent="0.3">
      <c r="D625" s="21"/>
    </row>
    <row r="626" spans="4:4" x14ac:dyDescent="0.3">
      <c r="D626" s="21"/>
    </row>
    <row r="627" spans="4:4" x14ac:dyDescent="0.3">
      <c r="D627" s="21"/>
    </row>
    <row r="628" spans="4:4" x14ac:dyDescent="0.3">
      <c r="D628" s="21"/>
    </row>
    <row r="629" spans="4:4" x14ac:dyDescent="0.3">
      <c r="D629" s="21"/>
    </row>
    <row r="630" spans="4:4" x14ac:dyDescent="0.3">
      <c r="D630" s="21"/>
    </row>
    <row r="631" spans="4:4" x14ac:dyDescent="0.3">
      <c r="D631" s="21"/>
    </row>
    <row r="632" spans="4:4" x14ac:dyDescent="0.3">
      <c r="D632" s="21"/>
    </row>
    <row r="633" spans="4:4" x14ac:dyDescent="0.3">
      <c r="D633" s="21"/>
    </row>
    <row r="634" spans="4:4" x14ac:dyDescent="0.3">
      <c r="D634" s="21"/>
    </row>
    <row r="635" spans="4:4" x14ac:dyDescent="0.3">
      <c r="D635" s="21"/>
    </row>
    <row r="636" spans="4:4" x14ac:dyDescent="0.3">
      <c r="D636" s="21"/>
    </row>
    <row r="637" spans="4:4" x14ac:dyDescent="0.3">
      <c r="D637" s="21"/>
    </row>
    <row r="638" spans="4:4" x14ac:dyDescent="0.3">
      <c r="D638" s="21"/>
    </row>
    <row r="639" spans="4:4" x14ac:dyDescent="0.3">
      <c r="D639" s="21"/>
    </row>
    <row r="640" spans="4:4" x14ac:dyDescent="0.3">
      <c r="D640" s="21"/>
    </row>
    <row r="641" spans="4:4" x14ac:dyDescent="0.3">
      <c r="D641" s="21"/>
    </row>
    <row r="642" spans="4:4" x14ac:dyDescent="0.3">
      <c r="D642" s="21"/>
    </row>
    <row r="643" spans="4:4" x14ac:dyDescent="0.3">
      <c r="D643" s="21"/>
    </row>
    <row r="644" spans="4:4" x14ac:dyDescent="0.3">
      <c r="D644" s="21"/>
    </row>
    <row r="645" spans="4:4" x14ac:dyDescent="0.3">
      <c r="D645" s="21"/>
    </row>
    <row r="646" spans="4:4" x14ac:dyDescent="0.3">
      <c r="D646" s="21"/>
    </row>
    <row r="647" spans="4:4" x14ac:dyDescent="0.3">
      <c r="D647" s="21"/>
    </row>
    <row r="648" spans="4:4" x14ac:dyDescent="0.3">
      <c r="D648" s="21"/>
    </row>
    <row r="649" spans="4:4" x14ac:dyDescent="0.3">
      <c r="D649" s="21"/>
    </row>
    <row r="650" spans="4:4" x14ac:dyDescent="0.3">
      <c r="D650" s="21"/>
    </row>
    <row r="651" spans="4:4" x14ac:dyDescent="0.3">
      <c r="D651" s="21"/>
    </row>
    <row r="652" spans="4:4" x14ac:dyDescent="0.3">
      <c r="D652" s="21"/>
    </row>
    <row r="653" spans="4:4" x14ac:dyDescent="0.3">
      <c r="D653" s="21"/>
    </row>
    <row r="654" spans="4:4" x14ac:dyDescent="0.3">
      <c r="D654" s="21"/>
    </row>
    <row r="655" spans="4:4" x14ac:dyDescent="0.3">
      <c r="D655" s="21"/>
    </row>
    <row r="656" spans="4:4" x14ac:dyDescent="0.3">
      <c r="D656" s="21"/>
    </row>
    <row r="657" spans="4:4" x14ac:dyDescent="0.3">
      <c r="D657" s="21"/>
    </row>
    <row r="658" spans="4:4" x14ac:dyDescent="0.3">
      <c r="D658" s="21"/>
    </row>
    <row r="659" spans="4:4" x14ac:dyDescent="0.3">
      <c r="D659" s="21"/>
    </row>
    <row r="660" spans="4:4" x14ac:dyDescent="0.3">
      <c r="D660" s="21"/>
    </row>
    <row r="661" spans="4:4" x14ac:dyDescent="0.3">
      <c r="D661" s="21"/>
    </row>
    <row r="662" spans="4:4" x14ac:dyDescent="0.3">
      <c r="D662" s="21"/>
    </row>
    <row r="663" spans="4:4" x14ac:dyDescent="0.3">
      <c r="D663" s="21"/>
    </row>
    <row r="664" spans="4:4" x14ac:dyDescent="0.3">
      <c r="D664" s="21"/>
    </row>
    <row r="665" spans="4:4" x14ac:dyDescent="0.3">
      <c r="D665" s="21"/>
    </row>
    <row r="666" spans="4:4" x14ac:dyDescent="0.3">
      <c r="D666" s="21"/>
    </row>
    <row r="667" spans="4:4" x14ac:dyDescent="0.3">
      <c r="D667" s="21"/>
    </row>
    <row r="668" spans="4:4" x14ac:dyDescent="0.3">
      <c r="D668" s="21"/>
    </row>
    <row r="669" spans="4:4" x14ac:dyDescent="0.3">
      <c r="D669" s="21"/>
    </row>
    <row r="670" spans="4:4" x14ac:dyDescent="0.3">
      <c r="D670" s="21"/>
    </row>
    <row r="671" spans="4:4" x14ac:dyDescent="0.3">
      <c r="D671" s="21"/>
    </row>
    <row r="672" spans="4:4" x14ac:dyDescent="0.3">
      <c r="D672" s="21"/>
    </row>
    <row r="673" spans="4:4" x14ac:dyDescent="0.3">
      <c r="D673" s="21"/>
    </row>
    <row r="674" spans="4:4" x14ac:dyDescent="0.3">
      <c r="D674" s="21"/>
    </row>
    <row r="675" spans="4:4" x14ac:dyDescent="0.3">
      <c r="D675" s="21"/>
    </row>
    <row r="676" spans="4:4" x14ac:dyDescent="0.3">
      <c r="D676" s="21"/>
    </row>
    <row r="677" spans="4:4" x14ac:dyDescent="0.3">
      <c r="D677" s="21"/>
    </row>
    <row r="678" spans="4:4" x14ac:dyDescent="0.3">
      <c r="D678" s="21"/>
    </row>
    <row r="679" spans="4:4" x14ac:dyDescent="0.3">
      <c r="D679" s="21"/>
    </row>
    <row r="680" spans="4:4" x14ac:dyDescent="0.3">
      <c r="D680" s="21"/>
    </row>
    <row r="681" spans="4:4" x14ac:dyDescent="0.3">
      <c r="D681" s="21"/>
    </row>
    <row r="682" spans="4:4" x14ac:dyDescent="0.3">
      <c r="D682" s="21"/>
    </row>
    <row r="683" spans="4:4" x14ac:dyDescent="0.3">
      <c r="D683" s="21"/>
    </row>
    <row r="684" spans="4:4" x14ac:dyDescent="0.3">
      <c r="D684" s="21"/>
    </row>
    <row r="685" spans="4:4" x14ac:dyDescent="0.3">
      <c r="D685" s="21"/>
    </row>
    <row r="686" spans="4:4" x14ac:dyDescent="0.3">
      <c r="D686" s="21"/>
    </row>
    <row r="687" spans="4:4" x14ac:dyDescent="0.3">
      <c r="D687" s="21"/>
    </row>
    <row r="688" spans="4:4" x14ac:dyDescent="0.3">
      <c r="D688" s="21"/>
    </row>
    <row r="689" spans="4:4" x14ac:dyDescent="0.3">
      <c r="D689" s="21"/>
    </row>
    <row r="690" spans="4:4" x14ac:dyDescent="0.3">
      <c r="D690" s="21"/>
    </row>
    <row r="691" spans="4:4" x14ac:dyDescent="0.3">
      <c r="D691" s="21"/>
    </row>
    <row r="692" spans="4:4" x14ac:dyDescent="0.3">
      <c r="D692" s="21"/>
    </row>
    <row r="693" spans="4:4" x14ac:dyDescent="0.3">
      <c r="D693" s="21"/>
    </row>
    <row r="694" spans="4:4" x14ac:dyDescent="0.3">
      <c r="D694" s="21"/>
    </row>
    <row r="695" spans="4:4" x14ac:dyDescent="0.3">
      <c r="D695" s="21"/>
    </row>
    <row r="696" spans="4:4" x14ac:dyDescent="0.3">
      <c r="D696" s="21"/>
    </row>
    <row r="697" spans="4:4" x14ac:dyDescent="0.3">
      <c r="D697" s="21"/>
    </row>
    <row r="698" spans="4:4" x14ac:dyDescent="0.3">
      <c r="D698" s="21"/>
    </row>
    <row r="699" spans="4:4" x14ac:dyDescent="0.3">
      <c r="D699" s="21"/>
    </row>
    <row r="700" spans="4:4" x14ac:dyDescent="0.3">
      <c r="D700" s="21"/>
    </row>
    <row r="701" spans="4:4" x14ac:dyDescent="0.3">
      <c r="D701" s="21"/>
    </row>
    <row r="702" spans="4:4" x14ac:dyDescent="0.3">
      <c r="D702" s="21"/>
    </row>
    <row r="703" spans="4:4" x14ac:dyDescent="0.3">
      <c r="D703" s="21"/>
    </row>
    <row r="704" spans="4:4" x14ac:dyDescent="0.3">
      <c r="D704" s="21"/>
    </row>
    <row r="705" spans="4:4" x14ac:dyDescent="0.3">
      <c r="D705" s="21"/>
    </row>
    <row r="706" spans="4:4" x14ac:dyDescent="0.3">
      <c r="D706" s="21"/>
    </row>
    <row r="707" spans="4:4" x14ac:dyDescent="0.3">
      <c r="D707" s="21"/>
    </row>
    <row r="708" spans="4:4" x14ac:dyDescent="0.3">
      <c r="D708" s="21"/>
    </row>
    <row r="709" spans="4:4" x14ac:dyDescent="0.3">
      <c r="D709" s="21"/>
    </row>
    <row r="710" spans="4:4" x14ac:dyDescent="0.3">
      <c r="D710" s="21"/>
    </row>
    <row r="711" spans="4:4" x14ac:dyDescent="0.3">
      <c r="D711" s="21"/>
    </row>
    <row r="712" spans="4:4" x14ac:dyDescent="0.3">
      <c r="D712" s="21"/>
    </row>
    <row r="713" spans="4:4" x14ac:dyDescent="0.3">
      <c r="D713" s="21"/>
    </row>
    <row r="714" spans="4:4" x14ac:dyDescent="0.3">
      <c r="D714" s="21"/>
    </row>
    <row r="715" spans="4:4" x14ac:dyDescent="0.3">
      <c r="D715" s="21"/>
    </row>
    <row r="716" spans="4:4" x14ac:dyDescent="0.3">
      <c r="D716" s="21"/>
    </row>
    <row r="717" spans="4:4" x14ac:dyDescent="0.3">
      <c r="D717" s="21"/>
    </row>
    <row r="718" spans="4:4" x14ac:dyDescent="0.3">
      <c r="D718" s="21"/>
    </row>
    <row r="719" spans="4:4" x14ac:dyDescent="0.3">
      <c r="D719" s="21"/>
    </row>
    <row r="720" spans="4:4" x14ac:dyDescent="0.3">
      <c r="D720" s="21"/>
    </row>
    <row r="721" spans="4:4" x14ac:dyDescent="0.3">
      <c r="D721" s="21"/>
    </row>
    <row r="722" spans="4:4" x14ac:dyDescent="0.3">
      <c r="D722" s="21"/>
    </row>
    <row r="723" spans="4:4" x14ac:dyDescent="0.3">
      <c r="D723" s="21"/>
    </row>
    <row r="724" spans="4:4" x14ac:dyDescent="0.3">
      <c r="D724" s="21"/>
    </row>
    <row r="725" spans="4:4" x14ac:dyDescent="0.3">
      <c r="D725" s="21"/>
    </row>
    <row r="726" spans="4:4" x14ac:dyDescent="0.3">
      <c r="D726" s="21"/>
    </row>
    <row r="727" spans="4:4" x14ac:dyDescent="0.3">
      <c r="D727" s="21"/>
    </row>
    <row r="728" spans="4:4" x14ac:dyDescent="0.3">
      <c r="D728" s="21"/>
    </row>
    <row r="729" spans="4:4" x14ac:dyDescent="0.3">
      <c r="D729" s="21"/>
    </row>
    <row r="730" spans="4:4" x14ac:dyDescent="0.3">
      <c r="D730" s="21"/>
    </row>
    <row r="731" spans="4:4" x14ac:dyDescent="0.3">
      <c r="D731" s="21"/>
    </row>
    <row r="732" spans="4:4" x14ac:dyDescent="0.3">
      <c r="D732" s="21"/>
    </row>
    <row r="733" spans="4:4" x14ac:dyDescent="0.3">
      <c r="D733" s="21"/>
    </row>
    <row r="734" spans="4:4" x14ac:dyDescent="0.3">
      <c r="D734" s="21"/>
    </row>
    <row r="735" spans="4:4" x14ac:dyDescent="0.3">
      <c r="D735" s="21"/>
    </row>
    <row r="736" spans="4:4" x14ac:dyDescent="0.3">
      <c r="D736" s="21"/>
    </row>
    <row r="737" spans="4:4" x14ac:dyDescent="0.3">
      <c r="D737" s="21"/>
    </row>
    <row r="738" spans="4:4" x14ac:dyDescent="0.3">
      <c r="D738" s="21"/>
    </row>
    <row r="739" spans="4:4" x14ac:dyDescent="0.3">
      <c r="D739" s="21"/>
    </row>
    <row r="740" spans="4:4" x14ac:dyDescent="0.3">
      <c r="D740" s="21"/>
    </row>
    <row r="741" spans="4:4" x14ac:dyDescent="0.3">
      <c r="D741" s="21"/>
    </row>
    <row r="742" spans="4:4" x14ac:dyDescent="0.3">
      <c r="D742" s="21"/>
    </row>
    <row r="743" spans="4:4" x14ac:dyDescent="0.3">
      <c r="D743" s="21"/>
    </row>
    <row r="744" spans="4:4" x14ac:dyDescent="0.3">
      <c r="D744" s="21"/>
    </row>
    <row r="745" spans="4:4" x14ac:dyDescent="0.3">
      <c r="D745" s="21"/>
    </row>
    <row r="746" spans="4:4" x14ac:dyDescent="0.3">
      <c r="D746" s="21"/>
    </row>
    <row r="747" spans="4:4" x14ac:dyDescent="0.3">
      <c r="D747" s="21"/>
    </row>
    <row r="748" spans="4:4" x14ac:dyDescent="0.3">
      <c r="D748" s="21"/>
    </row>
    <row r="749" spans="4:4" x14ac:dyDescent="0.3">
      <c r="D749" s="21"/>
    </row>
    <row r="750" spans="4:4" x14ac:dyDescent="0.3">
      <c r="D750" s="21"/>
    </row>
    <row r="751" spans="4:4" x14ac:dyDescent="0.3">
      <c r="D751" s="21"/>
    </row>
    <row r="752" spans="4:4" x14ac:dyDescent="0.3">
      <c r="D752" s="21"/>
    </row>
    <row r="753" spans="4:4" x14ac:dyDescent="0.3">
      <c r="D753" s="21"/>
    </row>
    <row r="754" spans="4:4" x14ac:dyDescent="0.3">
      <c r="D754" s="21"/>
    </row>
    <row r="755" spans="4:4" x14ac:dyDescent="0.3">
      <c r="D755" s="21"/>
    </row>
    <row r="756" spans="4:4" x14ac:dyDescent="0.3">
      <c r="D756" s="21"/>
    </row>
    <row r="757" spans="4:4" x14ac:dyDescent="0.3">
      <c r="D757" s="21"/>
    </row>
    <row r="758" spans="4:4" x14ac:dyDescent="0.3">
      <c r="D758" s="21"/>
    </row>
    <row r="759" spans="4:4" x14ac:dyDescent="0.3">
      <c r="D759" s="21"/>
    </row>
    <row r="760" spans="4:4" x14ac:dyDescent="0.3">
      <c r="D760" s="21"/>
    </row>
    <row r="761" spans="4:4" x14ac:dyDescent="0.3">
      <c r="D761" s="21"/>
    </row>
    <row r="762" spans="4:4" x14ac:dyDescent="0.3">
      <c r="D762" s="21"/>
    </row>
    <row r="763" spans="4:4" x14ac:dyDescent="0.3">
      <c r="D763" s="21"/>
    </row>
    <row r="764" spans="4:4" x14ac:dyDescent="0.3">
      <c r="D764" s="21"/>
    </row>
    <row r="765" spans="4:4" x14ac:dyDescent="0.3">
      <c r="D765" s="21"/>
    </row>
    <row r="766" spans="4:4" x14ac:dyDescent="0.3">
      <c r="D766" s="21"/>
    </row>
    <row r="767" spans="4:4" x14ac:dyDescent="0.3">
      <c r="D767" s="21"/>
    </row>
    <row r="768" spans="4:4" x14ac:dyDescent="0.3">
      <c r="D768" s="21"/>
    </row>
    <row r="769" spans="4:4" x14ac:dyDescent="0.3">
      <c r="D769" s="21"/>
    </row>
    <row r="770" spans="4:4" x14ac:dyDescent="0.3">
      <c r="D770" s="21"/>
    </row>
    <row r="771" spans="4:4" x14ac:dyDescent="0.3">
      <c r="D771" s="21"/>
    </row>
    <row r="772" spans="4:4" x14ac:dyDescent="0.3">
      <c r="D772" s="21"/>
    </row>
    <row r="773" spans="4:4" x14ac:dyDescent="0.3">
      <c r="D773" s="21"/>
    </row>
    <row r="774" spans="4:4" x14ac:dyDescent="0.3">
      <c r="D774" s="21"/>
    </row>
    <row r="775" spans="4:4" x14ac:dyDescent="0.3">
      <c r="D775" s="21"/>
    </row>
    <row r="776" spans="4:4" x14ac:dyDescent="0.3">
      <c r="D776" s="21"/>
    </row>
    <row r="777" spans="4:4" x14ac:dyDescent="0.3">
      <c r="D777" s="21"/>
    </row>
    <row r="778" spans="4:4" x14ac:dyDescent="0.3">
      <c r="D778" s="21"/>
    </row>
    <row r="779" spans="4:4" x14ac:dyDescent="0.3">
      <c r="D779" s="21"/>
    </row>
    <row r="780" spans="4:4" x14ac:dyDescent="0.3">
      <c r="D780" s="21"/>
    </row>
    <row r="781" spans="4:4" x14ac:dyDescent="0.3">
      <c r="D781" s="21"/>
    </row>
    <row r="782" spans="4:4" x14ac:dyDescent="0.3">
      <c r="D782" s="21"/>
    </row>
    <row r="783" spans="4:4" x14ac:dyDescent="0.3">
      <c r="D783" s="21"/>
    </row>
    <row r="784" spans="4:4" x14ac:dyDescent="0.3">
      <c r="D784" s="21"/>
    </row>
    <row r="785" spans="4:4" x14ac:dyDescent="0.3">
      <c r="D785" s="21"/>
    </row>
    <row r="786" spans="4:4" x14ac:dyDescent="0.3">
      <c r="D786" s="21"/>
    </row>
    <row r="787" spans="4:4" x14ac:dyDescent="0.3">
      <c r="D787" s="21"/>
    </row>
    <row r="788" spans="4:4" x14ac:dyDescent="0.3">
      <c r="D788" s="21"/>
    </row>
    <row r="789" spans="4:4" x14ac:dyDescent="0.3">
      <c r="D789" s="21"/>
    </row>
    <row r="790" spans="4:4" x14ac:dyDescent="0.3">
      <c r="D790" s="21"/>
    </row>
    <row r="791" spans="4:4" x14ac:dyDescent="0.3">
      <c r="D791" s="21"/>
    </row>
    <row r="792" spans="4:4" x14ac:dyDescent="0.3">
      <c r="D792" s="21"/>
    </row>
    <row r="793" spans="4:4" x14ac:dyDescent="0.3">
      <c r="D793" s="21"/>
    </row>
    <row r="794" spans="4:4" x14ac:dyDescent="0.3">
      <c r="D794" s="21"/>
    </row>
    <row r="795" spans="4:4" x14ac:dyDescent="0.3">
      <c r="D795" s="21"/>
    </row>
    <row r="796" spans="4:4" x14ac:dyDescent="0.3">
      <c r="D796" s="21"/>
    </row>
    <row r="797" spans="4:4" x14ac:dyDescent="0.3">
      <c r="D797" s="21"/>
    </row>
    <row r="798" spans="4:4" x14ac:dyDescent="0.3">
      <c r="D798" s="21"/>
    </row>
    <row r="799" spans="4:4" x14ac:dyDescent="0.3">
      <c r="D799" s="21"/>
    </row>
    <row r="800" spans="4:4" x14ac:dyDescent="0.3">
      <c r="D800" s="21"/>
    </row>
    <row r="801" spans="4:4" x14ac:dyDescent="0.3">
      <c r="D801" s="21"/>
    </row>
    <row r="802" spans="4:4" x14ac:dyDescent="0.3">
      <c r="D802" s="21"/>
    </row>
    <row r="803" spans="4:4" x14ac:dyDescent="0.3">
      <c r="D803" s="21"/>
    </row>
    <row r="804" spans="4:4" x14ac:dyDescent="0.3">
      <c r="D804" s="21"/>
    </row>
    <row r="805" spans="4:4" x14ac:dyDescent="0.3">
      <c r="D805" s="21"/>
    </row>
    <row r="806" spans="4:4" x14ac:dyDescent="0.3">
      <c r="D806" s="21"/>
    </row>
    <row r="807" spans="4:4" x14ac:dyDescent="0.3">
      <c r="D807" s="21"/>
    </row>
    <row r="808" spans="4:4" x14ac:dyDescent="0.3">
      <c r="D808" s="21"/>
    </row>
    <row r="809" spans="4:4" x14ac:dyDescent="0.3">
      <c r="D809" s="21"/>
    </row>
    <row r="810" spans="4:4" x14ac:dyDescent="0.3">
      <c r="D810" s="21"/>
    </row>
    <row r="811" spans="4:4" x14ac:dyDescent="0.3">
      <c r="D811" s="21"/>
    </row>
    <row r="812" spans="4:4" x14ac:dyDescent="0.3">
      <c r="D812" s="21"/>
    </row>
    <row r="813" spans="4:4" x14ac:dyDescent="0.3">
      <c r="D813" s="21"/>
    </row>
    <row r="814" spans="4:4" x14ac:dyDescent="0.3">
      <c r="D814" s="21"/>
    </row>
    <row r="815" spans="4:4" x14ac:dyDescent="0.3">
      <c r="D815" s="21"/>
    </row>
    <row r="816" spans="4:4" x14ac:dyDescent="0.3">
      <c r="D816" s="21"/>
    </row>
    <row r="817" spans="4:4" x14ac:dyDescent="0.3">
      <c r="D817" s="21"/>
    </row>
    <row r="818" spans="4:4" x14ac:dyDescent="0.3">
      <c r="D818" s="21"/>
    </row>
    <row r="819" spans="4:4" x14ac:dyDescent="0.3">
      <c r="D819" s="21"/>
    </row>
    <row r="820" spans="4:4" x14ac:dyDescent="0.3">
      <c r="D820" s="21"/>
    </row>
    <row r="821" spans="4:4" x14ac:dyDescent="0.3">
      <c r="D821" s="21"/>
    </row>
    <row r="822" spans="4:4" x14ac:dyDescent="0.3">
      <c r="D822" s="21"/>
    </row>
    <row r="823" spans="4:4" x14ac:dyDescent="0.3">
      <c r="D823" s="21"/>
    </row>
    <row r="824" spans="4:4" x14ac:dyDescent="0.3">
      <c r="D824" s="21"/>
    </row>
    <row r="825" spans="4:4" x14ac:dyDescent="0.3">
      <c r="D825" s="21"/>
    </row>
    <row r="826" spans="4:4" x14ac:dyDescent="0.3">
      <c r="D826" s="21"/>
    </row>
    <row r="827" spans="4:4" x14ac:dyDescent="0.3">
      <c r="D827" s="21"/>
    </row>
    <row r="828" spans="4:4" x14ac:dyDescent="0.3">
      <c r="D828" s="21"/>
    </row>
    <row r="829" spans="4:4" x14ac:dyDescent="0.3">
      <c r="D829" s="21"/>
    </row>
    <row r="830" spans="4:4" x14ac:dyDescent="0.3">
      <c r="D830" s="21"/>
    </row>
    <row r="831" spans="4:4" x14ac:dyDescent="0.3">
      <c r="D831" s="21"/>
    </row>
    <row r="832" spans="4:4" x14ac:dyDescent="0.3">
      <c r="D832" s="21"/>
    </row>
    <row r="833" spans="4:4" x14ac:dyDescent="0.3">
      <c r="D833" s="21"/>
    </row>
    <row r="834" spans="4:4" x14ac:dyDescent="0.3">
      <c r="D834" s="21"/>
    </row>
    <row r="835" spans="4:4" x14ac:dyDescent="0.3">
      <c r="D835" s="21"/>
    </row>
    <row r="836" spans="4:4" x14ac:dyDescent="0.3">
      <c r="D836" s="21"/>
    </row>
    <row r="837" spans="4:4" x14ac:dyDescent="0.3">
      <c r="D837" s="21"/>
    </row>
    <row r="838" spans="4:4" x14ac:dyDescent="0.3">
      <c r="D838" s="21"/>
    </row>
    <row r="839" spans="4:4" x14ac:dyDescent="0.3">
      <c r="D839" s="21"/>
    </row>
    <row r="840" spans="4:4" x14ac:dyDescent="0.3">
      <c r="D840" s="21"/>
    </row>
    <row r="841" spans="4:4" x14ac:dyDescent="0.3">
      <c r="D841" s="21"/>
    </row>
    <row r="842" spans="4:4" x14ac:dyDescent="0.3">
      <c r="D842" s="21"/>
    </row>
    <row r="843" spans="4:4" x14ac:dyDescent="0.3">
      <c r="D843" s="21"/>
    </row>
    <row r="844" spans="4:4" x14ac:dyDescent="0.3">
      <c r="D844" s="21"/>
    </row>
    <row r="845" spans="4:4" x14ac:dyDescent="0.3">
      <c r="D845" s="21"/>
    </row>
    <row r="846" spans="4:4" x14ac:dyDescent="0.3">
      <c r="D846" s="21"/>
    </row>
    <row r="847" spans="4:4" x14ac:dyDescent="0.3">
      <c r="D847" s="21"/>
    </row>
    <row r="848" spans="4:4" x14ac:dyDescent="0.3">
      <c r="D848" s="21"/>
    </row>
    <row r="849" spans="4:4" x14ac:dyDescent="0.3">
      <c r="D849" s="21"/>
    </row>
    <row r="850" spans="4:4" x14ac:dyDescent="0.3">
      <c r="D850" s="21"/>
    </row>
    <row r="851" spans="4:4" x14ac:dyDescent="0.3">
      <c r="D851" s="21"/>
    </row>
    <row r="852" spans="4:4" x14ac:dyDescent="0.3">
      <c r="D852" s="21"/>
    </row>
    <row r="853" spans="4:4" x14ac:dyDescent="0.3">
      <c r="D853" s="21"/>
    </row>
    <row r="854" spans="4:4" x14ac:dyDescent="0.3">
      <c r="D854" s="21"/>
    </row>
    <row r="855" spans="4:4" x14ac:dyDescent="0.3">
      <c r="D855" s="21"/>
    </row>
    <row r="856" spans="4:4" x14ac:dyDescent="0.3">
      <c r="D856" s="21"/>
    </row>
    <row r="857" spans="4:4" x14ac:dyDescent="0.3">
      <c r="D857" s="21"/>
    </row>
    <row r="858" spans="4:4" x14ac:dyDescent="0.3">
      <c r="D858" s="21"/>
    </row>
    <row r="859" spans="4:4" x14ac:dyDescent="0.3">
      <c r="D859" s="21"/>
    </row>
    <row r="860" spans="4:4" x14ac:dyDescent="0.3">
      <c r="D860" s="21"/>
    </row>
    <row r="861" spans="4:4" x14ac:dyDescent="0.3">
      <c r="D861" s="21"/>
    </row>
    <row r="862" spans="4:4" x14ac:dyDescent="0.3">
      <c r="D862" s="21"/>
    </row>
    <row r="863" spans="4:4" x14ac:dyDescent="0.3">
      <c r="D863" s="21"/>
    </row>
    <row r="864" spans="4:4" x14ac:dyDescent="0.3">
      <c r="D864" s="21"/>
    </row>
    <row r="865" spans="4:4" x14ac:dyDescent="0.3">
      <c r="D865" s="21"/>
    </row>
    <row r="866" spans="4:4" x14ac:dyDescent="0.3">
      <c r="D866" s="21"/>
    </row>
    <row r="867" spans="4:4" x14ac:dyDescent="0.3">
      <c r="D867" s="21"/>
    </row>
    <row r="868" spans="4:4" x14ac:dyDescent="0.3">
      <c r="D868" s="21"/>
    </row>
    <row r="869" spans="4:4" x14ac:dyDescent="0.3">
      <c r="D869" s="21"/>
    </row>
    <row r="870" spans="4:4" x14ac:dyDescent="0.3">
      <c r="D870" s="21"/>
    </row>
    <row r="871" spans="4:4" x14ac:dyDescent="0.3">
      <c r="D871" s="21"/>
    </row>
    <row r="872" spans="4:4" x14ac:dyDescent="0.3">
      <c r="D872" s="21"/>
    </row>
    <row r="873" spans="4:4" x14ac:dyDescent="0.3">
      <c r="D873" s="21"/>
    </row>
    <row r="874" spans="4:4" x14ac:dyDescent="0.3">
      <c r="D874" s="21"/>
    </row>
    <row r="875" spans="4:4" x14ac:dyDescent="0.3">
      <c r="D875" s="21"/>
    </row>
    <row r="876" spans="4:4" x14ac:dyDescent="0.3">
      <c r="D876" s="21"/>
    </row>
    <row r="877" spans="4:4" x14ac:dyDescent="0.3">
      <c r="D877" s="21"/>
    </row>
    <row r="878" spans="4:4" x14ac:dyDescent="0.3">
      <c r="D878" s="21"/>
    </row>
    <row r="879" spans="4:4" x14ac:dyDescent="0.3">
      <c r="D879" s="21"/>
    </row>
    <row r="880" spans="4:4" x14ac:dyDescent="0.3">
      <c r="D880" s="21"/>
    </row>
    <row r="881" spans="4:4" x14ac:dyDescent="0.3">
      <c r="D881" s="21"/>
    </row>
    <row r="882" spans="4:4" x14ac:dyDescent="0.3">
      <c r="D882" s="21"/>
    </row>
    <row r="883" spans="4:4" x14ac:dyDescent="0.3">
      <c r="D883" s="21"/>
    </row>
    <row r="884" spans="4:4" x14ac:dyDescent="0.3">
      <c r="D884" s="21"/>
    </row>
    <row r="885" spans="4:4" x14ac:dyDescent="0.3">
      <c r="D885" s="21"/>
    </row>
    <row r="886" spans="4:4" x14ac:dyDescent="0.3">
      <c r="D886" s="21"/>
    </row>
    <row r="887" spans="4:4" x14ac:dyDescent="0.3">
      <c r="D887" s="21"/>
    </row>
    <row r="888" spans="4:4" x14ac:dyDescent="0.3">
      <c r="D888" s="21"/>
    </row>
    <row r="889" spans="4:4" x14ac:dyDescent="0.3">
      <c r="D889" s="21"/>
    </row>
    <row r="890" spans="4:4" x14ac:dyDescent="0.3">
      <c r="D890" s="21"/>
    </row>
    <row r="891" spans="4:4" x14ac:dyDescent="0.3">
      <c r="D891" s="21"/>
    </row>
    <row r="892" spans="4:4" x14ac:dyDescent="0.3">
      <c r="D892" s="21"/>
    </row>
    <row r="893" spans="4:4" x14ac:dyDescent="0.3">
      <c r="D893" s="21"/>
    </row>
    <row r="894" spans="4:4" x14ac:dyDescent="0.3">
      <c r="D894" s="21"/>
    </row>
    <row r="895" spans="4:4" x14ac:dyDescent="0.3">
      <c r="D895" s="21"/>
    </row>
    <row r="896" spans="4:4" x14ac:dyDescent="0.3">
      <c r="D896" s="21"/>
    </row>
    <row r="897" spans="4:4" x14ac:dyDescent="0.3">
      <c r="D897" s="21"/>
    </row>
    <row r="898" spans="4:4" x14ac:dyDescent="0.3">
      <c r="D898" s="21"/>
    </row>
    <row r="899" spans="4:4" x14ac:dyDescent="0.3">
      <c r="D899" s="21"/>
    </row>
    <row r="900" spans="4:4" x14ac:dyDescent="0.3">
      <c r="D900" s="21"/>
    </row>
    <row r="901" spans="4:4" x14ac:dyDescent="0.3">
      <c r="D901" s="21"/>
    </row>
    <row r="902" spans="4:4" x14ac:dyDescent="0.3">
      <c r="D902" s="21"/>
    </row>
    <row r="903" spans="4:4" x14ac:dyDescent="0.3">
      <c r="D903" s="21"/>
    </row>
    <row r="904" spans="4:4" x14ac:dyDescent="0.3">
      <c r="D904" s="21"/>
    </row>
    <row r="905" spans="4:4" x14ac:dyDescent="0.3">
      <c r="D905" s="21"/>
    </row>
    <row r="906" spans="4:4" x14ac:dyDescent="0.3">
      <c r="D906" s="21"/>
    </row>
    <row r="907" spans="4:4" x14ac:dyDescent="0.3">
      <c r="D907" s="21"/>
    </row>
    <row r="908" spans="4:4" x14ac:dyDescent="0.3">
      <c r="D908" s="21"/>
    </row>
    <row r="909" spans="4:4" x14ac:dyDescent="0.3">
      <c r="D909" s="21"/>
    </row>
    <row r="910" spans="4:4" x14ac:dyDescent="0.3">
      <c r="D910" s="21"/>
    </row>
    <row r="911" spans="4:4" x14ac:dyDescent="0.3">
      <c r="D911" s="21"/>
    </row>
    <row r="912" spans="4:4" x14ac:dyDescent="0.3">
      <c r="D912" s="21"/>
    </row>
    <row r="913" spans="4:4" x14ac:dyDescent="0.3">
      <c r="D913" s="21"/>
    </row>
    <row r="914" spans="4:4" x14ac:dyDescent="0.3">
      <c r="D914" s="21"/>
    </row>
    <row r="915" spans="4:4" x14ac:dyDescent="0.3">
      <c r="D915" s="21"/>
    </row>
    <row r="916" spans="4:4" x14ac:dyDescent="0.3">
      <c r="D916" s="21"/>
    </row>
    <row r="917" spans="4:4" x14ac:dyDescent="0.3">
      <c r="D917" s="21"/>
    </row>
    <row r="918" spans="4:4" x14ac:dyDescent="0.3">
      <c r="D918" s="21"/>
    </row>
    <row r="919" spans="4:4" x14ac:dyDescent="0.3">
      <c r="D919" s="21"/>
    </row>
    <row r="920" spans="4:4" x14ac:dyDescent="0.3">
      <c r="D920" s="21"/>
    </row>
    <row r="921" spans="4:4" x14ac:dyDescent="0.3">
      <c r="D921" s="21"/>
    </row>
    <row r="922" spans="4:4" x14ac:dyDescent="0.3">
      <c r="D922" s="21"/>
    </row>
    <row r="923" spans="4:4" x14ac:dyDescent="0.3">
      <c r="D923" s="21"/>
    </row>
    <row r="924" spans="4:4" x14ac:dyDescent="0.3">
      <c r="D924" s="21"/>
    </row>
    <row r="925" spans="4:4" x14ac:dyDescent="0.3">
      <c r="D925" s="21"/>
    </row>
    <row r="926" spans="4:4" x14ac:dyDescent="0.3">
      <c r="D926" s="21"/>
    </row>
    <row r="927" spans="4:4" x14ac:dyDescent="0.3">
      <c r="D927" s="21"/>
    </row>
    <row r="928" spans="4:4" x14ac:dyDescent="0.3">
      <c r="D928" s="21"/>
    </row>
    <row r="929" spans="4:4" x14ac:dyDescent="0.3">
      <c r="D929" s="21"/>
    </row>
    <row r="930" spans="4:4" x14ac:dyDescent="0.3">
      <c r="D930" s="21"/>
    </row>
    <row r="931" spans="4:4" x14ac:dyDescent="0.3">
      <c r="D931" s="21"/>
    </row>
    <row r="932" spans="4:4" x14ac:dyDescent="0.3">
      <c r="D932" s="21"/>
    </row>
    <row r="933" spans="4:4" x14ac:dyDescent="0.3">
      <c r="D933" s="21"/>
    </row>
    <row r="934" spans="4:4" x14ac:dyDescent="0.3">
      <c r="D934" s="21"/>
    </row>
    <row r="935" spans="4:4" x14ac:dyDescent="0.3">
      <c r="D935" s="21"/>
    </row>
    <row r="936" spans="4:4" x14ac:dyDescent="0.3">
      <c r="D936" s="21"/>
    </row>
    <row r="937" spans="4:4" x14ac:dyDescent="0.3">
      <c r="D937" s="21"/>
    </row>
    <row r="938" spans="4:4" x14ac:dyDescent="0.3">
      <c r="D938" s="21"/>
    </row>
    <row r="939" spans="4:4" x14ac:dyDescent="0.3">
      <c r="D939" s="21"/>
    </row>
    <row r="940" spans="4:4" x14ac:dyDescent="0.3">
      <c r="D940" s="21"/>
    </row>
    <row r="941" spans="4:4" x14ac:dyDescent="0.3">
      <c r="D941" s="21"/>
    </row>
    <row r="942" spans="4:4" x14ac:dyDescent="0.3">
      <c r="D942" s="21"/>
    </row>
    <row r="943" spans="4:4" x14ac:dyDescent="0.3">
      <c r="D943" s="21"/>
    </row>
    <row r="944" spans="4:4" x14ac:dyDescent="0.3">
      <c r="D944" s="21"/>
    </row>
    <row r="945" spans="4:4" x14ac:dyDescent="0.3">
      <c r="D945" s="21"/>
    </row>
    <row r="946" spans="4:4" x14ac:dyDescent="0.3">
      <c r="D946" s="21"/>
    </row>
    <row r="947" spans="4:4" x14ac:dyDescent="0.3">
      <c r="D947" s="21"/>
    </row>
    <row r="948" spans="4:4" x14ac:dyDescent="0.3">
      <c r="D948" s="21"/>
    </row>
    <row r="949" spans="4:4" x14ac:dyDescent="0.3">
      <c r="D949" s="21"/>
    </row>
    <row r="950" spans="4:4" x14ac:dyDescent="0.3">
      <c r="D950" s="21"/>
    </row>
    <row r="951" spans="4:4" x14ac:dyDescent="0.3">
      <c r="D951" s="21"/>
    </row>
    <row r="952" spans="4:4" x14ac:dyDescent="0.3">
      <c r="D952" s="21"/>
    </row>
    <row r="953" spans="4:4" x14ac:dyDescent="0.3">
      <c r="D953" s="21"/>
    </row>
    <row r="954" spans="4:4" x14ac:dyDescent="0.3">
      <c r="D954" s="21"/>
    </row>
    <row r="955" spans="4:4" x14ac:dyDescent="0.3">
      <c r="D955" s="21"/>
    </row>
    <row r="956" spans="4:4" x14ac:dyDescent="0.3">
      <c r="D956" s="21"/>
    </row>
    <row r="957" spans="4:4" x14ac:dyDescent="0.3">
      <c r="D957" s="21"/>
    </row>
    <row r="958" spans="4:4" x14ac:dyDescent="0.3">
      <c r="D958" s="21"/>
    </row>
    <row r="959" spans="4:4" x14ac:dyDescent="0.3">
      <c r="D959" s="21"/>
    </row>
    <row r="960" spans="4:4" x14ac:dyDescent="0.3">
      <c r="D960" s="21"/>
    </row>
    <row r="961" spans="4:4" x14ac:dyDescent="0.3">
      <c r="D961" s="21"/>
    </row>
    <row r="962" spans="4:4" x14ac:dyDescent="0.3">
      <c r="D962" s="21"/>
    </row>
    <row r="963" spans="4:4" x14ac:dyDescent="0.3">
      <c r="D963" s="21"/>
    </row>
    <row r="964" spans="4:4" x14ac:dyDescent="0.3">
      <c r="D964" s="21"/>
    </row>
    <row r="965" spans="4:4" x14ac:dyDescent="0.3">
      <c r="D965" s="21"/>
    </row>
    <row r="966" spans="4:4" x14ac:dyDescent="0.3">
      <c r="D966" s="21"/>
    </row>
    <row r="967" spans="4:4" x14ac:dyDescent="0.3">
      <c r="D967" s="21"/>
    </row>
    <row r="968" spans="4:4" x14ac:dyDescent="0.3">
      <c r="D968" s="21"/>
    </row>
    <row r="969" spans="4:4" x14ac:dyDescent="0.3">
      <c r="D969" s="21"/>
    </row>
    <row r="970" spans="4:4" x14ac:dyDescent="0.3">
      <c r="D970" s="21"/>
    </row>
    <row r="971" spans="4:4" x14ac:dyDescent="0.3">
      <c r="D971" s="21"/>
    </row>
    <row r="972" spans="4:4" x14ac:dyDescent="0.3">
      <c r="D972" s="21"/>
    </row>
    <row r="973" spans="4:4" x14ac:dyDescent="0.3">
      <c r="D973" s="21"/>
    </row>
    <row r="974" spans="4:4" x14ac:dyDescent="0.3">
      <c r="D974" s="21"/>
    </row>
    <row r="975" spans="4:4" x14ac:dyDescent="0.3">
      <c r="D975" s="21"/>
    </row>
    <row r="976" spans="4:4" x14ac:dyDescent="0.3">
      <c r="D976" s="21"/>
    </row>
    <row r="977" spans="4:4" x14ac:dyDescent="0.3">
      <c r="D977" s="21"/>
    </row>
    <row r="978" spans="4:4" x14ac:dyDescent="0.3">
      <c r="D978" s="21"/>
    </row>
    <row r="979" spans="4:4" x14ac:dyDescent="0.3">
      <c r="D979" s="21"/>
    </row>
    <row r="980" spans="4:4" x14ac:dyDescent="0.3">
      <c r="D980" s="21"/>
    </row>
    <row r="981" spans="4:4" x14ac:dyDescent="0.3">
      <c r="D981" s="21"/>
    </row>
    <row r="982" spans="4:4" x14ac:dyDescent="0.3">
      <c r="D982" s="21"/>
    </row>
    <row r="983" spans="4:4" x14ac:dyDescent="0.3">
      <c r="D983" s="21"/>
    </row>
    <row r="984" spans="4:4" x14ac:dyDescent="0.3">
      <c r="D984" s="21"/>
    </row>
    <row r="985" spans="4:4" x14ac:dyDescent="0.3">
      <c r="D985" s="21"/>
    </row>
    <row r="986" spans="4:4" x14ac:dyDescent="0.3">
      <c r="D986" s="21"/>
    </row>
    <row r="987" spans="4:4" x14ac:dyDescent="0.3">
      <c r="D987" s="21"/>
    </row>
    <row r="988" spans="4:4" x14ac:dyDescent="0.3">
      <c r="D988" s="21"/>
    </row>
    <row r="989" spans="4:4" x14ac:dyDescent="0.3">
      <c r="D989" s="21"/>
    </row>
    <row r="990" spans="4:4" x14ac:dyDescent="0.3">
      <c r="D990" s="21"/>
    </row>
    <row r="991" spans="4:4" x14ac:dyDescent="0.3">
      <c r="D991" s="21"/>
    </row>
    <row r="992" spans="4:4" x14ac:dyDescent="0.3">
      <c r="D992" s="21"/>
    </row>
    <row r="993" spans="4:4" x14ac:dyDescent="0.3">
      <c r="D993" s="21"/>
    </row>
    <row r="994" spans="4:4" x14ac:dyDescent="0.3">
      <c r="D994" s="21"/>
    </row>
    <row r="995" spans="4:4" x14ac:dyDescent="0.3">
      <c r="D995" s="21"/>
    </row>
    <row r="996" spans="4:4" x14ac:dyDescent="0.3">
      <c r="D996" s="21"/>
    </row>
    <row r="997" spans="4:4" x14ac:dyDescent="0.3">
      <c r="D997" s="21"/>
    </row>
    <row r="998" spans="4:4" x14ac:dyDescent="0.3">
      <c r="D998" s="21"/>
    </row>
    <row r="999" spans="4:4" x14ac:dyDescent="0.3">
      <c r="D999" s="21"/>
    </row>
    <row r="1000" spans="4:4" x14ac:dyDescent="0.3">
      <c r="D1000" s="21"/>
    </row>
    <row r="1001" spans="4:4" x14ac:dyDescent="0.3">
      <c r="D1001" s="21"/>
    </row>
    <row r="1002" spans="4:4" x14ac:dyDescent="0.3">
      <c r="D1002" s="21"/>
    </row>
    <row r="1003" spans="4:4" x14ac:dyDescent="0.3">
      <c r="D1003" s="21"/>
    </row>
    <row r="1004" spans="4:4" x14ac:dyDescent="0.3">
      <c r="D1004" s="21"/>
    </row>
    <row r="1005" spans="4:4" x14ac:dyDescent="0.3">
      <c r="D1005" s="21"/>
    </row>
    <row r="1006" spans="4:4" x14ac:dyDescent="0.3">
      <c r="D1006" s="21"/>
    </row>
    <row r="1007" spans="4:4" x14ac:dyDescent="0.3">
      <c r="D1007" s="21"/>
    </row>
    <row r="1008" spans="4:4" x14ac:dyDescent="0.3">
      <c r="D1008" s="21"/>
    </row>
    <row r="1009" spans="4:4" x14ac:dyDescent="0.3">
      <c r="D1009" s="21"/>
    </row>
    <row r="1010" spans="4:4" x14ac:dyDescent="0.3">
      <c r="D1010" s="21"/>
    </row>
    <row r="1011" spans="4:4" x14ac:dyDescent="0.3">
      <c r="D1011" s="21"/>
    </row>
    <row r="1012" spans="4:4" x14ac:dyDescent="0.3">
      <c r="D1012" s="21"/>
    </row>
    <row r="1013" spans="4:4" x14ac:dyDescent="0.3">
      <c r="D1013" s="21"/>
    </row>
    <row r="1014" spans="4:4" x14ac:dyDescent="0.3">
      <c r="D1014" s="21"/>
    </row>
    <row r="1015" spans="4:4" x14ac:dyDescent="0.3">
      <c r="D1015" s="21"/>
    </row>
    <row r="1016" spans="4:4" x14ac:dyDescent="0.3">
      <c r="D1016" s="21"/>
    </row>
    <row r="1017" spans="4:4" x14ac:dyDescent="0.3">
      <c r="D1017" s="21"/>
    </row>
    <row r="1018" spans="4:4" x14ac:dyDescent="0.3">
      <c r="D1018" s="21"/>
    </row>
    <row r="1019" spans="4:4" x14ac:dyDescent="0.3">
      <c r="D1019" s="21"/>
    </row>
    <row r="1020" spans="4:4" x14ac:dyDescent="0.3">
      <c r="D1020" s="21"/>
    </row>
    <row r="1021" spans="4:4" x14ac:dyDescent="0.3">
      <c r="D1021" s="21"/>
    </row>
    <row r="1022" spans="4:4" x14ac:dyDescent="0.3">
      <c r="D1022" s="21"/>
    </row>
    <row r="1023" spans="4:4" x14ac:dyDescent="0.3">
      <c r="D1023" s="21"/>
    </row>
    <row r="1024" spans="4:4" x14ac:dyDescent="0.3">
      <c r="D1024" s="21"/>
    </row>
    <row r="1025" spans="4:4" x14ac:dyDescent="0.3">
      <c r="D1025" s="21"/>
    </row>
    <row r="1026" spans="4:4" x14ac:dyDescent="0.3">
      <c r="D1026" s="21"/>
    </row>
    <row r="1027" spans="4:4" x14ac:dyDescent="0.3">
      <c r="D1027" s="21"/>
    </row>
    <row r="1028" spans="4:4" x14ac:dyDescent="0.3">
      <c r="D1028" s="21"/>
    </row>
    <row r="1029" spans="4:4" x14ac:dyDescent="0.3">
      <c r="D1029" s="21"/>
    </row>
    <row r="1030" spans="4:4" x14ac:dyDescent="0.3">
      <c r="D1030" s="21"/>
    </row>
    <row r="1031" spans="4:4" x14ac:dyDescent="0.3">
      <c r="D1031" s="21"/>
    </row>
    <row r="1032" spans="4:4" x14ac:dyDescent="0.3">
      <c r="D1032" s="21"/>
    </row>
    <row r="1033" spans="4:4" x14ac:dyDescent="0.3">
      <c r="D1033" s="21"/>
    </row>
    <row r="1034" spans="4:4" x14ac:dyDescent="0.3">
      <c r="D1034" s="21"/>
    </row>
    <row r="1035" spans="4:4" x14ac:dyDescent="0.3">
      <c r="D1035" s="21"/>
    </row>
    <row r="1036" spans="4:4" x14ac:dyDescent="0.3">
      <c r="D1036" s="21"/>
    </row>
    <row r="1037" spans="4:4" x14ac:dyDescent="0.3">
      <c r="D1037" s="21"/>
    </row>
    <row r="1038" spans="4:4" x14ac:dyDescent="0.3">
      <c r="D1038" s="21"/>
    </row>
    <row r="1039" spans="4:4" x14ac:dyDescent="0.3">
      <c r="D1039" s="21"/>
    </row>
    <row r="1040" spans="4:4" x14ac:dyDescent="0.3">
      <c r="D1040" s="21"/>
    </row>
    <row r="1041" spans="4:4" x14ac:dyDescent="0.3">
      <c r="D1041" s="21"/>
    </row>
    <row r="1042" spans="4:4" x14ac:dyDescent="0.3">
      <c r="D1042" s="21"/>
    </row>
    <row r="1043" spans="4:4" x14ac:dyDescent="0.3">
      <c r="D1043" s="21"/>
    </row>
    <row r="1044" spans="4:4" x14ac:dyDescent="0.3">
      <c r="D1044" s="21"/>
    </row>
    <row r="1045" spans="4:4" x14ac:dyDescent="0.3">
      <c r="D1045" s="21"/>
    </row>
    <row r="1046" spans="4:4" x14ac:dyDescent="0.3">
      <c r="D1046" s="21"/>
    </row>
    <row r="1047" spans="4:4" x14ac:dyDescent="0.3">
      <c r="D1047" s="21"/>
    </row>
    <row r="1048" spans="4:4" x14ac:dyDescent="0.3">
      <c r="D1048" s="21"/>
    </row>
    <row r="1049" spans="4:4" x14ac:dyDescent="0.3">
      <c r="D1049" s="21"/>
    </row>
    <row r="1050" spans="4:4" x14ac:dyDescent="0.3">
      <c r="D1050" s="21"/>
    </row>
    <row r="1051" spans="4:4" x14ac:dyDescent="0.3">
      <c r="D1051" s="21"/>
    </row>
    <row r="1052" spans="4:4" x14ac:dyDescent="0.3">
      <c r="D1052" s="21"/>
    </row>
    <row r="1053" spans="4:4" x14ac:dyDescent="0.3">
      <c r="D1053" s="21"/>
    </row>
    <row r="1054" spans="4:4" x14ac:dyDescent="0.3">
      <c r="D1054" s="21"/>
    </row>
    <row r="1055" spans="4:4" x14ac:dyDescent="0.3">
      <c r="D1055" s="21"/>
    </row>
    <row r="1056" spans="4:4" x14ac:dyDescent="0.3">
      <c r="D1056" s="21"/>
    </row>
    <row r="1057" spans="4:4" x14ac:dyDescent="0.3">
      <c r="D1057" s="21"/>
    </row>
    <row r="1058" spans="4:4" x14ac:dyDescent="0.3">
      <c r="D1058" s="21"/>
    </row>
    <row r="1059" spans="4:4" x14ac:dyDescent="0.3">
      <c r="D1059" s="21"/>
    </row>
    <row r="1060" spans="4:4" x14ac:dyDescent="0.3">
      <c r="D1060" s="21"/>
    </row>
    <row r="1061" spans="4:4" x14ac:dyDescent="0.3">
      <c r="D1061" s="21"/>
    </row>
    <row r="1062" spans="4:4" x14ac:dyDescent="0.3">
      <c r="D1062" s="21"/>
    </row>
    <row r="1063" spans="4:4" x14ac:dyDescent="0.3">
      <c r="D1063" s="21"/>
    </row>
    <row r="1064" spans="4:4" x14ac:dyDescent="0.3">
      <c r="D1064" s="21"/>
    </row>
    <row r="1065" spans="4:4" x14ac:dyDescent="0.3">
      <c r="D1065" s="21"/>
    </row>
    <row r="1066" spans="4:4" x14ac:dyDescent="0.3">
      <c r="D1066" s="21"/>
    </row>
    <row r="1067" spans="4:4" x14ac:dyDescent="0.3">
      <c r="D1067" s="21"/>
    </row>
    <row r="1068" spans="4:4" x14ac:dyDescent="0.3">
      <c r="D1068" s="21"/>
    </row>
    <row r="1069" spans="4:4" x14ac:dyDescent="0.3">
      <c r="D1069" s="21"/>
    </row>
    <row r="1070" spans="4:4" x14ac:dyDescent="0.3">
      <c r="D1070" s="21"/>
    </row>
    <row r="1071" spans="4:4" x14ac:dyDescent="0.3">
      <c r="D1071" s="21"/>
    </row>
    <row r="1072" spans="4:4" x14ac:dyDescent="0.3">
      <c r="D1072" s="21"/>
    </row>
    <row r="1073" spans="4:4" x14ac:dyDescent="0.3">
      <c r="D1073" s="21"/>
    </row>
    <row r="1074" spans="4:4" x14ac:dyDescent="0.3">
      <c r="D1074" s="21"/>
    </row>
    <row r="1075" spans="4:4" x14ac:dyDescent="0.3">
      <c r="D1075" s="21"/>
    </row>
    <row r="1076" spans="4:4" x14ac:dyDescent="0.3">
      <c r="D1076" s="21"/>
    </row>
    <row r="1077" spans="4:4" x14ac:dyDescent="0.3">
      <c r="D1077" s="21"/>
    </row>
    <row r="1078" spans="4:4" x14ac:dyDescent="0.3">
      <c r="D1078" s="21"/>
    </row>
    <row r="1079" spans="4:4" x14ac:dyDescent="0.3">
      <c r="D1079" s="21"/>
    </row>
    <row r="1080" spans="4:4" x14ac:dyDescent="0.3">
      <c r="D1080" s="21"/>
    </row>
    <row r="1081" spans="4:4" x14ac:dyDescent="0.3">
      <c r="D1081" s="21"/>
    </row>
    <row r="1082" spans="4:4" x14ac:dyDescent="0.3">
      <c r="D1082" s="21"/>
    </row>
    <row r="1083" spans="4:4" x14ac:dyDescent="0.3">
      <c r="D1083" s="21"/>
    </row>
    <row r="1084" spans="4:4" x14ac:dyDescent="0.3">
      <c r="D1084" s="21"/>
    </row>
    <row r="1085" spans="4:4" x14ac:dyDescent="0.3">
      <c r="D1085" s="21"/>
    </row>
    <row r="1086" spans="4:4" x14ac:dyDescent="0.3">
      <c r="D1086" s="21"/>
    </row>
    <row r="1087" spans="4:4" x14ac:dyDescent="0.3">
      <c r="D1087" s="21"/>
    </row>
    <row r="1088" spans="4:4" x14ac:dyDescent="0.3">
      <c r="D1088" s="21"/>
    </row>
    <row r="1089" spans="4:4" x14ac:dyDescent="0.3">
      <c r="D1089" s="21"/>
    </row>
    <row r="1090" spans="4:4" x14ac:dyDescent="0.3">
      <c r="D1090" s="21"/>
    </row>
    <row r="1091" spans="4:4" x14ac:dyDescent="0.3">
      <c r="D1091" s="21"/>
    </row>
    <row r="1092" spans="4:4" x14ac:dyDescent="0.3">
      <c r="D1092" s="21"/>
    </row>
    <row r="1093" spans="4:4" x14ac:dyDescent="0.3">
      <c r="D1093" s="21"/>
    </row>
    <row r="1094" spans="4:4" x14ac:dyDescent="0.3">
      <c r="D1094" s="21"/>
    </row>
    <row r="1095" spans="4:4" x14ac:dyDescent="0.3">
      <c r="D1095" s="21"/>
    </row>
    <row r="1096" spans="4:4" x14ac:dyDescent="0.3">
      <c r="D1096" s="21"/>
    </row>
    <row r="1097" spans="4:4" x14ac:dyDescent="0.3">
      <c r="D1097" s="21"/>
    </row>
    <row r="1098" spans="4:4" x14ac:dyDescent="0.3">
      <c r="D1098" s="21"/>
    </row>
    <row r="1099" spans="4:4" x14ac:dyDescent="0.3">
      <c r="D1099" s="21"/>
    </row>
    <row r="1100" spans="4:4" x14ac:dyDescent="0.3">
      <c r="D1100" s="21"/>
    </row>
    <row r="1101" spans="4:4" x14ac:dyDescent="0.3">
      <c r="D1101" s="21"/>
    </row>
    <row r="1102" spans="4:4" x14ac:dyDescent="0.3">
      <c r="D1102" s="21"/>
    </row>
    <row r="1103" spans="4:4" x14ac:dyDescent="0.3">
      <c r="D1103" s="21"/>
    </row>
    <row r="1104" spans="4:4" x14ac:dyDescent="0.3">
      <c r="D1104" s="21"/>
    </row>
    <row r="1105" spans="4:4" x14ac:dyDescent="0.3">
      <c r="D1105" s="21"/>
    </row>
    <row r="1106" spans="4:4" x14ac:dyDescent="0.3">
      <c r="D1106" s="21"/>
    </row>
    <row r="1107" spans="4:4" x14ac:dyDescent="0.3">
      <c r="D1107" s="21"/>
    </row>
    <row r="1108" spans="4:4" x14ac:dyDescent="0.3">
      <c r="D1108" s="21"/>
    </row>
    <row r="1109" spans="4:4" x14ac:dyDescent="0.3">
      <c r="D1109" s="21"/>
    </row>
    <row r="1110" spans="4:4" x14ac:dyDescent="0.3">
      <c r="D1110" s="21"/>
    </row>
    <row r="1111" spans="4:4" x14ac:dyDescent="0.3">
      <c r="D1111" s="21"/>
    </row>
    <row r="1112" spans="4:4" x14ac:dyDescent="0.3">
      <c r="D1112" s="21"/>
    </row>
    <row r="1113" spans="4:4" x14ac:dyDescent="0.3">
      <c r="D1113" s="21"/>
    </row>
    <row r="1114" spans="4:4" x14ac:dyDescent="0.3">
      <c r="D1114" s="21"/>
    </row>
    <row r="1115" spans="4:4" x14ac:dyDescent="0.3">
      <c r="D1115" s="21"/>
    </row>
    <row r="1116" spans="4:4" x14ac:dyDescent="0.3">
      <c r="D1116" s="21"/>
    </row>
    <row r="1117" spans="4:4" x14ac:dyDescent="0.3">
      <c r="D1117" s="21"/>
    </row>
    <row r="1118" spans="4:4" x14ac:dyDescent="0.3">
      <c r="D1118" s="21"/>
    </row>
    <row r="1119" spans="4:4" x14ac:dyDescent="0.3">
      <c r="D1119" s="21"/>
    </row>
    <row r="1120" spans="4:4" x14ac:dyDescent="0.3">
      <c r="D1120" s="21"/>
    </row>
    <row r="1121" spans="4:4" x14ac:dyDescent="0.3">
      <c r="D1121" s="21"/>
    </row>
    <row r="1122" spans="4:4" x14ac:dyDescent="0.3">
      <c r="D1122" s="21"/>
    </row>
    <row r="1123" spans="4:4" x14ac:dyDescent="0.3">
      <c r="D1123" s="21"/>
    </row>
    <row r="1124" spans="4:4" x14ac:dyDescent="0.3">
      <c r="D1124" s="21"/>
    </row>
    <row r="1125" spans="4:4" x14ac:dyDescent="0.3">
      <c r="D1125" s="21"/>
    </row>
    <row r="1126" spans="4:4" x14ac:dyDescent="0.3">
      <c r="D1126" s="21"/>
    </row>
    <row r="1127" spans="4:4" x14ac:dyDescent="0.3">
      <c r="D1127" s="21"/>
    </row>
    <row r="1128" spans="4:4" x14ac:dyDescent="0.3">
      <c r="D1128" s="21"/>
    </row>
    <row r="1129" spans="4:4" x14ac:dyDescent="0.3">
      <c r="D1129" s="21"/>
    </row>
    <row r="1130" spans="4:4" x14ac:dyDescent="0.3">
      <c r="D1130" s="21"/>
    </row>
    <row r="1131" spans="4:4" x14ac:dyDescent="0.3">
      <c r="D1131" s="21"/>
    </row>
    <row r="1132" spans="4:4" x14ac:dyDescent="0.3">
      <c r="D1132" s="21"/>
    </row>
    <row r="1133" spans="4:4" x14ac:dyDescent="0.3">
      <c r="D1133" s="21"/>
    </row>
    <row r="1134" spans="4:4" x14ac:dyDescent="0.3">
      <c r="D1134" s="21"/>
    </row>
    <row r="1135" spans="4:4" x14ac:dyDescent="0.3">
      <c r="D1135" s="21"/>
    </row>
    <row r="1136" spans="4:4" x14ac:dyDescent="0.3">
      <c r="D1136" s="21"/>
    </row>
    <row r="1137" spans="4:4" x14ac:dyDescent="0.3">
      <c r="D1137" s="21"/>
    </row>
    <row r="1138" spans="4:4" x14ac:dyDescent="0.3">
      <c r="D1138" s="21"/>
    </row>
    <row r="1139" spans="4:4" x14ac:dyDescent="0.3">
      <c r="D1139" s="21"/>
    </row>
    <row r="1140" spans="4:4" x14ac:dyDescent="0.3">
      <c r="D1140" s="21"/>
    </row>
    <row r="1141" spans="4:4" x14ac:dyDescent="0.3">
      <c r="D1141" s="21"/>
    </row>
    <row r="1142" spans="4:4" x14ac:dyDescent="0.3">
      <c r="D1142" s="21"/>
    </row>
    <row r="1143" spans="4:4" x14ac:dyDescent="0.3">
      <c r="D1143" s="21"/>
    </row>
    <row r="1144" spans="4:4" x14ac:dyDescent="0.3">
      <c r="D1144" s="21"/>
    </row>
    <row r="1145" spans="4:4" x14ac:dyDescent="0.3">
      <c r="D1145" s="21"/>
    </row>
    <row r="1146" spans="4:4" x14ac:dyDescent="0.3">
      <c r="D1146" s="21"/>
    </row>
    <row r="1147" spans="4:4" x14ac:dyDescent="0.3">
      <c r="D1147" s="21"/>
    </row>
    <row r="1148" spans="4:4" x14ac:dyDescent="0.3">
      <c r="D1148" s="21"/>
    </row>
    <row r="1149" spans="4:4" x14ac:dyDescent="0.3">
      <c r="D1149" s="21"/>
    </row>
    <row r="1150" spans="4:4" x14ac:dyDescent="0.3">
      <c r="D1150" s="21"/>
    </row>
    <row r="1151" spans="4:4" x14ac:dyDescent="0.3">
      <c r="D1151" s="21"/>
    </row>
    <row r="1152" spans="4:4" x14ac:dyDescent="0.3">
      <c r="D1152" s="21"/>
    </row>
    <row r="1153" spans="4:4" x14ac:dyDescent="0.3">
      <c r="D1153" s="21"/>
    </row>
    <row r="1154" spans="4:4" x14ac:dyDescent="0.3">
      <c r="D1154" s="21"/>
    </row>
    <row r="1155" spans="4:4" x14ac:dyDescent="0.3">
      <c r="D1155" s="21"/>
    </row>
    <row r="1156" spans="4:4" x14ac:dyDescent="0.3">
      <c r="D1156" s="21"/>
    </row>
    <row r="1157" spans="4:4" x14ac:dyDescent="0.3">
      <c r="D1157" s="21"/>
    </row>
    <row r="1158" spans="4:4" x14ac:dyDescent="0.3">
      <c r="D1158" s="21"/>
    </row>
    <row r="1159" spans="4:4" x14ac:dyDescent="0.3">
      <c r="D1159" s="21"/>
    </row>
    <row r="1160" spans="4:4" x14ac:dyDescent="0.3">
      <c r="D1160" s="21"/>
    </row>
    <row r="1161" spans="4:4" x14ac:dyDescent="0.3">
      <c r="D1161" s="21"/>
    </row>
    <row r="1162" spans="4:4" x14ac:dyDescent="0.3">
      <c r="D1162" s="21"/>
    </row>
    <row r="1163" spans="4:4" x14ac:dyDescent="0.3">
      <c r="D1163" s="21"/>
    </row>
    <row r="1164" spans="4:4" x14ac:dyDescent="0.3">
      <c r="D1164" s="21"/>
    </row>
    <row r="1165" spans="4:4" x14ac:dyDescent="0.3">
      <c r="D1165" s="21"/>
    </row>
    <row r="1166" spans="4:4" x14ac:dyDescent="0.3">
      <c r="D1166" s="21"/>
    </row>
    <row r="1167" spans="4:4" x14ac:dyDescent="0.3">
      <c r="D1167" s="21"/>
    </row>
    <row r="1168" spans="4:4" x14ac:dyDescent="0.3">
      <c r="D1168" s="21"/>
    </row>
    <row r="1169" spans="4:4" x14ac:dyDescent="0.3">
      <c r="D1169" s="21"/>
    </row>
    <row r="1170" spans="4:4" x14ac:dyDescent="0.3">
      <c r="D1170" s="21"/>
    </row>
    <row r="1171" spans="4:4" x14ac:dyDescent="0.3">
      <c r="D1171" s="21"/>
    </row>
    <row r="1172" spans="4:4" x14ac:dyDescent="0.3">
      <c r="D1172" s="21"/>
    </row>
    <row r="1173" spans="4:4" x14ac:dyDescent="0.3">
      <c r="D1173" s="21"/>
    </row>
    <row r="1174" spans="4:4" x14ac:dyDescent="0.3">
      <c r="D1174" s="21"/>
    </row>
    <row r="1175" spans="4:4" x14ac:dyDescent="0.3">
      <c r="D1175" s="21"/>
    </row>
    <row r="1176" spans="4:4" x14ac:dyDescent="0.3">
      <c r="D1176" s="21"/>
    </row>
    <row r="1177" spans="4:4" x14ac:dyDescent="0.3">
      <c r="D1177" s="21"/>
    </row>
    <row r="1178" spans="4:4" x14ac:dyDescent="0.3">
      <c r="D1178" s="21"/>
    </row>
    <row r="1179" spans="4:4" x14ac:dyDescent="0.3">
      <c r="D1179" s="21"/>
    </row>
    <row r="1180" spans="4:4" x14ac:dyDescent="0.3">
      <c r="D1180" s="21"/>
    </row>
    <row r="1181" spans="4:4" x14ac:dyDescent="0.3">
      <c r="D1181" s="21"/>
    </row>
    <row r="1182" spans="4:4" x14ac:dyDescent="0.3">
      <c r="D1182" s="21"/>
    </row>
    <row r="1183" spans="4:4" x14ac:dyDescent="0.3">
      <c r="D1183" s="21"/>
    </row>
    <row r="1184" spans="4:4" x14ac:dyDescent="0.3">
      <c r="D1184" s="21"/>
    </row>
    <row r="1185" spans="4:4" x14ac:dyDescent="0.3">
      <c r="D1185" s="21"/>
    </row>
    <row r="1186" spans="4:4" x14ac:dyDescent="0.3">
      <c r="D1186" s="21"/>
    </row>
    <row r="1187" spans="4:4" x14ac:dyDescent="0.3">
      <c r="D1187" s="21"/>
    </row>
    <row r="1188" spans="4:4" x14ac:dyDescent="0.3">
      <c r="D1188" s="21"/>
    </row>
    <row r="1189" spans="4:4" x14ac:dyDescent="0.3">
      <c r="D1189" s="21"/>
    </row>
    <row r="1190" spans="4:4" x14ac:dyDescent="0.3">
      <c r="D1190" s="21"/>
    </row>
    <row r="1191" spans="4:4" x14ac:dyDescent="0.3">
      <c r="D1191" s="21"/>
    </row>
    <row r="1192" spans="4:4" x14ac:dyDescent="0.3">
      <c r="D1192" s="21"/>
    </row>
    <row r="1193" spans="4:4" x14ac:dyDescent="0.3">
      <c r="D1193" s="21"/>
    </row>
    <row r="1194" spans="4:4" x14ac:dyDescent="0.3">
      <c r="D1194" s="21"/>
    </row>
    <row r="1195" spans="4:4" x14ac:dyDescent="0.3">
      <c r="D1195" s="21"/>
    </row>
    <row r="1196" spans="4:4" x14ac:dyDescent="0.3">
      <c r="D1196" s="21"/>
    </row>
    <row r="1197" spans="4:4" x14ac:dyDescent="0.3">
      <c r="D1197" s="21"/>
    </row>
    <row r="1198" spans="4:4" x14ac:dyDescent="0.3">
      <c r="D1198" s="21"/>
    </row>
    <row r="1199" spans="4:4" x14ac:dyDescent="0.3">
      <c r="D1199" s="21"/>
    </row>
    <row r="1200" spans="4:4" x14ac:dyDescent="0.3">
      <c r="D1200" s="21"/>
    </row>
    <row r="1201" spans="4:4" x14ac:dyDescent="0.3">
      <c r="D1201" s="21"/>
    </row>
    <row r="1202" spans="4:4" x14ac:dyDescent="0.3">
      <c r="D1202" s="21"/>
    </row>
    <row r="1203" spans="4:4" x14ac:dyDescent="0.3">
      <c r="D1203" s="21"/>
    </row>
    <row r="1204" spans="4:4" x14ac:dyDescent="0.3">
      <c r="D1204" s="21"/>
    </row>
    <row r="1205" spans="4:4" x14ac:dyDescent="0.3">
      <c r="D1205" s="21"/>
    </row>
    <row r="1206" spans="4:4" x14ac:dyDescent="0.3">
      <c r="D1206" s="21"/>
    </row>
    <row r="1207" spans="4:4" x14ac:dyDescent="0.3">
      <c r="D1207" s="21"/>
    </row>
    <row r="1208" spans="4:4" x14ac:dyDescent="0.3">
      <c r="D1208" s="21"/>
    </row>
    <row r="1209" spans="4:4" x14ac:dyDescent="0.3">
      <c r="D1209" s="21"/>
    </row>
    <row r="1210" spans="4:4" x14ac:dyDescent="0.3">
      <c r="D1210" s="21"/>
    </row>
    <row r="1211" spans="4:4" x14ac:dyDescent="0.3">
      <c r="D1211" s="21"/>
    </row>
    <row r="1212" spans="4:4" x14ac:dyDescent="0.3">
      <c r="D1212" s="21"/>
    </row>
    <row r="1213" spans="4:4" x14ac:dyDescent="0.3">
      <c r="D1213" s="21"/>
    </row>
    <row r="1214" spans="4:4" x14ac:dyDescent="0.3">
      <c r="D1214" s="21"/>
    </row>
    <row r="1215" spans="4:4" x14ac:dyDescent="0.3">
      <c r="D1215" s="21"/>
    </row>
    <row r="1216" spans="4:4" x14ac:dyDescent="0.3">
      <c r="D1216" s="21"/>
    </row>
    <row r="1217" spans="4:4" x14ac:dyDescent="0.3">
      <c r="D1217" s="21"/>
    </row>
    <row r="1218" spans="4:4" x14ac:dyDescent="0.3">
      <c r="D1218" s="21"/>
    </row>
    <row r="1219" spans="4:4" x14ac:dyDescent="0.3">
      <c r="D1219" s="21"/>
    </row>
    <row r="1220" spans="4:4" x14ac:dyDescent="0.3">
      <c r="D1220" s="21"/>
    </row>
    <row r="1221" spans="4:4" x14ac:dyDescent="0.3">
      <c r="D1221" s="21"/>
    </row>
    <row r="1222" spans="4:4" x14ac:dyDescent="0.3">
      <c r="D1222" s="21"/>
    </row>
    <row r="1223" spans="4:4" x14ac:dyDescent="0.3">
      <c r="D1223" s="21"/>
    </row>
    <row r="1224" spans="4:4" x14ac:dyDescent="0.3">
      <c r="D1224" s="21"/>
    </row>
    <row r="1225" spans="4:4" x14ac:dyDescent="0.3">
      <c r="D1225" s="21"/>
    </row>
    <row r="1226" spans="4:4" x14ac:dyDescent="0.3">
      <c r="D1226" s="21"/>
    </row>
    <row r="1227" spans="4:4" x14ac:dyDescent="0.3">
      <c r="D1227" s="21"/>
    </row>
    <row r="1228" spans="4:4" x14ac:dyDescent="0.3">
      <c r="D1228" s="21"/>
    </row>
    <row r="1229" spans="4:4" x14ac:dyDescent="0.3">
      <c r="D1229" s="21"/>
    </row>
    <row r="1230" spans="4:4" x14ac:dyDescent="0.3">
      <c r="D1230" s="21"/>
    </row>
    <row r="1231" spans="4:4" x14ac:dyDescent="0.3">
      <c r="D1231" s="21"/>
    </row>
    <row r="1232" spans="4:4" x14ac:dyDescent="0.3">
      <c r="D1232" s="21"/>
    </row>
    <row r="1233" spans="4:4" x14ac:dyDescent="0.3">
      <c r="D1233" s="21"/>
    </row>
    <row r="1234" spans="4:4" x14ac:dyDescent="0.3">
      <c r="D1234" s="21"/>
    </row>
    <row r="1235" spans="4:4" x14ac:dyDescent="0.3">
      <c r="D1235" s="21"/>
    </row>
    <row r="1236" spans="4:4" x14ac:dyDescent="0.3">
      <c r="D1236" s="21"/>
    </row>
    <row r="1237" spans="4:4" x14ac:dyDescent="0.3">
      <c r="D1237" s="21"/>
    </row>
    <row r="1238" spans="4:4" x14ac:dyDescent="0.3">
      <c r="D1238" s="21"/>
    </row>
    <row r="1239" spans="4:4" x14ac:dyDescent="0.3">
      <c r="D1239" s="21"/>
    </row>
    <row r="1240" spans="4:4" x14ac:dyDescent="0.3">
      <c r="D1240" s="21"/>
    </row>
    <row r="1241" spans="4:4" x14ac:dyDescent="0.3">
      <c r="D1241" s="21"/>
    </row>
    <row r="1242" spans="4:4" x14ac:dyDescent="0.3">
      <c r="D1242" s="21"/>
    </row>
    <row r="1243" spans="4:4" x14ac:dyDescent="0.3">
      <c r="D1243" s="21"/>
    </row>
    <row r="1244" spans="4:4" x14ac:dyDescent="0.3">
      <c r="D1244" s="21"/>
    </row>
    <row r="1245" spans="4:4" x14ac:dyDescent="0.3">
      <c r="D1245" s="21"/>
    </row>
    <row r="1246" spans="4:4" x14ac:dyDescent="0.3">
      <c r="D1246" s="21"/>
    </row>
    <row r="1247" spans="4:4" x14ac:dyDescent="0.3">
      <c r="D1247" s="21"/>
    </row>
    <row r="1248" spans="4:4" x14ac:dyDescent="0.3">
      <c r="D1248" s="21"/>
    </row>
    <row r="1249" spans="4:4" x14ac:dyDescent="0.3">
      <c r="D1249" s="21"/>
    </row>
    <row r="1250" spans="4:4" x14ac:dyDescent="0.3">
      <c r="D1250" s="21"/>
    </row>
    <row r="1251" spans="4:4" x14ac:dyDescent="0.3">
      <c r="D1251" s="21"/>
    </row>
    <row r="1252" spans="4:4" x14ac:dyDescent="0.3">
      <c r="D1252" s="21"/>
    </row>
    <row r="1253" spans="4:4" x14ac:dyDescent="0.3">
      <c r="D1253" s="21"/>
    </row>
    <row r="1254" spans="4:4" x14ac:dyDescent="0.3">
      <c r="D1254" s="21"/>
    </row>
    <row r="1255" spans="4:4" x14ac:dyDescent="0.3">
      <c r="D1255" s="21"/>
    </row>
    <row r="1256" spans="4:4" x14ac:dyDescent="0.3">
      <c r="D1256" s="21"/>
    </row>
    <row r="1257" spans="4:4" x14ac:dyDescent="0.3">
      <c r="D1257" s="21"/>
    </row>
    <row r="1258" spans="4:4" x14ac:dyDescent="0.3">
      <c r="D1258" s="21"/>
    </row>
    <row r="1259" spans="4:4" x14ac:dyDescent="0.3">
      <c r="D1259" s="21"/>
    </row>
    <row r="1260" spans="4:4" x14ac:dyDescent="0.3">
      <c r="D1260" s="21"/>
    </row>
    <row r="1261" spans="4:4" x14ac:dyDescent="0.3">
      <c r="D1261" s="21"/>
    </row>
    <row r="1262" spans="4:4" x14ac:dyDescent="0.3">
      <c r="D1262" s="21"/>
    </row>
    <row r="1263" spans="4:4" x14ac:dyDescent="0.3">
      <c r="D1263" s="21"/>
    </row>
    <row r="1264" spans="4:4" x14ac:dyDescent="0.3">
      <c r="D1264" s="21"/>
    </row>
    <row r="1265" spans="4:4" x14ac:dyDescent="0.3">
      <c r="D1265" s="21"/>
    </row>
    <row r="1266" spans="4:4" x14ac:dyDescent="0.3">
      <c r="D1266" s="21"/>
    </row>
    <row r="1267" spans="4:4" x14ac:dyDescent="0.3">
      <c r="D1267" s="21"/>
    </row>
    <row r="1268" spans="4:4" x14ac:dyDescent="0.3">
      <c r="D1268" s="21"/>
    </row>
    <row r="1269" spans="4:4" x14ac:dyDescent="0.3">
      <c r="D1269" s="21"/>
    </row>
    <row r="1270" spans="4:4" x14ac:dyDescent="0.3">
      <c r="D1270" s="21"/>
    </row>
    <row r="1271" spans="4:4" x14ac:dyDescent="0.3">
      <c r="D1271" s="21"/>
    </row>
    <row r="1272" spans="4:4" x14ac:dyDescent="0.3">
      <c r="D1272" s="21"/>
    </row>
    <row r="1273" spans="4:4" x14ac:dyDescent="0.3">
      <c r="D1273" s="21"/>
    </row>
    <row r="1274" spans="4:4" x14ac:dyDescent="0.3">
      <c r="D1274" s="21"/>
    </row>
    <row r="1275" spans="4:4" x14ac:dyDescent="0.3">
      <c r="D1275" s="21"/>
    </row>
    <row r="1276" spans="4:4" x14ac:dyDescent="0.3">
      <c r="D1276" s="21"/>
    </row>
    <row r="1277" spans="4:4" x14ac:dyDescent="0.3">
      <c r="D1277" s="21"/>
    </row>
    <row r="1278" spans="4:4" x14ac:dyDescent="0.3">
      <c r="D1278" s="21"/>
    </row>
    <row r="1279" spans="4:4" x14ac:dyDescent="0.3">
      <c r="D1279" s="21"/>
    </row>
    <row r="1280" spans="4:4" x14ac:dyDescent="0.3">
      <c r="D1280" s="21"/>
    </row>
    <row r="1281" spans="4:4" x14ac:dyDescent="0.3">
      <c r="D1281" s="21"/>
    </row>
    <row r="1282" spans="4:4" x14ac:dyDescent="0.3">
      <c r="D1282" s="21"/>
    </row>
    <row r="1283" spans="4:4" x14ac:dyDescent="0.3">
      <c r="D1283" s="21"/>
    </row>
    <row r="1284" spans="4:4" x14ac:dyDescent="0.3">
      <c r="D1284" s="21"/>
    </row>
    <row r="1285" spans="4:4" x14ac:dyDescent="0.3">
      <c r="D1285" s="21"/>
    </row>
    <row r="1286" spans="4:4" x14ac:dyDescent="0.3">
      <c r="D1286" s="21"/>
    </row>
    <row r="1287" spans="4:4" x14ac:dyDescent="0.3">
      <c r="D1287" s="21"/>
    </row>
    <row r="1288" spans="4:4" x14ac:dyDescent="0.3">
      <c r="D1288" s="21"/>
    </row>
    <row r="1289" spans="4:4" x14ac:dyDescent="0.3">
      <c r="D1289" s="21"/>
    </row>
    <row r="1290" spans="4:4" x14ac:dyDescent="0.3">
      <c r="D1290" s="21"/>
    </row>
    <row r="1291" spans="4:4" x14ac:dyDescent="0.3">
      <c r="D1291" s="21"/>
    </row>
    <row r="1292" spans="4:4" x14ac:dyDescent="0.3">
      <c r="D1292" s="21"/>
    </row>
    <row r="1293" spans="4:4" x14ac:dyDescent="0.3">
      <c r="D1293" s="21"/>
    </row>
    <row r="1294" spans="4:4" x14ac:dyDescent="0.3">
      <c r="D1294" s="21"/>
    </row>
    <row r="1295" spans="4:4" x14ac:dyDescent="0.3">
      <c r="D1295" s="21"/>
    </row>
    <row r="1296" spans="4:4" x14ac:dyDescent="0.3">
      <c r="D1296" s="21"/>
    </row>
    <row r="1297" spans="4:4" x14ac:dyDescent="0.3">
      <c r="D1297" s="21"/>
    </row>
    <row r="1298" spans="4:4" x14ac:dyDescent="0.3">
      <c r="D1298" s="21"/>
    </row>
    <row r="1299" spans="4:4" x14ac:dyDescent="0.3">
      <c r="D1299" s="21"/>
    </row>
    <row r="1300" spans="4:4" x14ac:dyDescent="0.3">
      <c r="D1300" s="21"/>
    </row>
    <row r="1301" spans="4:4" x14ac:dyDescent="0.3">
      <c r="D1301" s="21"/>
    </row>
    <row r="1302" spans="4:4" x14ac:dyDescent="0.3">
      <c r="D1302" s="21"/>
    </row>
    <row r="1303" spans="4:4" x14ac:dyDescent="0.3">
      <c r="D1303" s="21"/>
    </row>
    <row r="1304" spans="4:4" x14ac:dyDescent="0.3">
      <c r="D1304" s="21"/>
    </row>
    <row r="1305" spans="4:4" x14ac:dyDescent="0.3">
      <c r="D1305" s="21"/>
    </row>
    <row r="1306" spans="4:4" x14ac:dyDescent="0.3">
      <c r="D1306" s="21"/>
    </row>
    <row r="1307" spans="4:4" x14ac:dyDescent="0.3">
      <c r="D1307" s="21"/>
    </row>
    <row r="1308" spans="4:4" x14ac:dyDescent="0.3">
      <c r="D1308" s="21"/>
    </row>
    <row r="1309" spans="4:4" x14ac:dyDescent="0.3">
      <c r="D1309" s="21"/>
    </row>
    <row r="1310" spans="4:4" x14ac:dyDescent="0.3">
      <c r="D1310" s="21"/>
    </row>
    <row r="1311" spans="4:4" x14ac:dyDescent="0.3">
      <c r="D1311" s="21"/>
    </row>
    <row r="1312" spans="4:4" x14ac:dyDescent="0.3">
      <c r="D1312" s="21"/>
    </row>
    <row r="1313" spans="4:4" x14ac:dyDescent="0.3">
      <c r="D1313" s="21"/>
    </row>
    <row r="1314" spans="4:4" x14ac:dyDescent="0.3">
      <c r="D1314" s="21"/>
    </row>
    <row r="1315" spans="4:4" x14ac:dyDescent="0.3">
      <c r="D1315" s="21"/>
    </row>
    <row r="1316" spans="4:4" x14ac:dyDescent="0.3">
      <c r="D1316" s="21"/>
    </row>
    <row r="1317" spans="4:4" x14ac:dyDescent="0.3">
      <c r="D1317" s="21"/>
    </row>
    <row r="1318" spans="4:4" x14ac:dyDescent="0.3">
      <c r="D1318" s="21"/>
    </row>
    <row r="1319" spans="4:4" x14ac:dyDescent="0.3">
      <c r="D1319" s="21"/>
    </row>
    <row r="1320" spans="4:4" x14ac:dyDescent="0.3">
      <c r="D1320" s="21"/>
    </row>
    <row r="1321" spans="4:4" x14ac:dyDescent="0.3">
      <c r="D1321" s="21"/>
    </row>
    <row r="1322" spans="4:4" x14ac:dyDescent="0.3">
      <c r="D1322" s="21"/>
    </row>
    <row r="1323" spans="4:4" x14ac:dyDescent="0.3">
      <c r="D1323" s="21"/>
    </row>
    <row r="1324" spans="4:4" x14ac:dyDescent="0.3">
      <c r="D1324" s="21"/>
    </row>
    <row r="1325" spans="4:4" x14ac:dyDescent="0.3">
      <c r="D1325" s="21"/>
    </row>
    <row r="1326" spans="4:4" x14ac:dyDescent="0.3">
      <c r="D1326" s="21"/>
    </row>
    <row r="1327" spans="4:4" x14ac:dyDescent="0.3">
      <c r="D1327" s="21"/>
    </row>
    <row r="1328" spans="4:4" x14ac:dyDescent="0.3">
      <c r="D1328" s="21"/>
    </row>
    <row r="1329" spans="4:4" x14ac:dyDescent="0.3">
      <c r="D1329" s="21"/>
    </row>
    <row r="1330" spans="4:4" x14ac:dyDescent="0.3">
      <c r="D1330" s="21"/>
    </row>
    <row r="1331" spans="4:4" x14ac:dyDescent="0.3">
      <c r="D1331" s="21"/>
    </row>
    <row r="1332" spans="4:4" x14ac:dyDescent="0.3">
      <c r="D1332" s="21"/>
    </row>
    <row r="1333" spans="4:4" x14ac:dyDescent="0.3">
      <c r="D1333" s="21"/>
    </row>
    <row r="1334" spans="4:4" x14ac:dyDescent="0.3">
      <c r="D1334" s="21"/>
    </row>
    <row r="1335" spans="4:4" x14ac:dyDescent="0.3">
      <c r="D1335" s="21"/>
    </row>
    <row r="1336" spans="4:4" x14ac:dyDescent="0.3">
      <c r="D1336" s="21"/>
    </row>
    <row r="1337" spans="4:4" x14ac:dyDescent="0.3">
      <c r="D1337" s="21"/>
    </row>
    <row r="1338" spans="4:4" x14ac:dyDescent="0.3">
      <c r="D1338" s="21"/>
    </row>
    <row r="1339" spans="4:4" x14ac:dyDescent="0.3">
      <c r="D1339" s="21"/>
    </row>
    <row r="1340" spans="4:4" x14ac:dyDescent="0.3">
      <c r="D1340" s="21"/>
    </row>
    <row r="1341" spans="4:4" x14ac:dyDescent="0.3">
      <c r="D1341" s="21"/>
    </row>
    <row r="1342" spans="4:4" x14ac:dyDescent="0.3">
      <c r="D1342" s="21"/>
    </row>
    <row r="1343" spans="4:4" x14ac:dyDescent="0.3">
      <c r="D1343" s="21"/>
    </row>
    <row r="1344" spans="4:4" x14ac:dyDescent="0.3">
      <c r="D1344" s="21"/>
    </row>
    <row r="1345" spans="4:4" x14ac:dyDescent="0.3">
      <c r="D1345" s="21"/>
    </row>
    <row r="1346" spans="4:4" x14ac:dyDescent="0.3">
      <c r="D1346" s="21"/>
    </row>
    <row r="1347" spans="4:4" x14ac:dyDescent="0.3">
      <c r="D1347" s="21"/>
    </row>
    <row r="1348" spans="4:4" x14ac:dyDescent="0.3">
      <c r="D1348" s="21"/>
    </row>
    <row r="1349" spans="4:4" x14ac:dyDescent="0.3">
      <c r="D1349" s="21"/>
    </row>
    <row r="1350" spans="4:4" x14ac:dyDescent="0.3">
      <c r="D1350" s="21"/>
    </row>
    <row r="1351" spans="4:4" x14ac:dyDescent="0.3">
      <c r="D1351" s="21"/>
    </row>
    <row r="1352" spans="4:4" x14ac:dyDescent="0.3">
      <c r="D1352" s="21"/>
    </row>
    <row r="1353" spans="4:4" x14ac:dyDescent="0.3">
      <c r="D1353" s="21"/>
    </row>
    <row r="1354" spans="4:4" x14ac:dyDescent="0.3">
      <c r="D1354" s="21"/>
    </row>
    <row r="1355" spans="4:4" x14ac:dyDescent="0.3">
      <c r="D1355" s="21"/>
    </row>
    <row r="1356" spans="4:4" x14ac:dyDescent="0.3">
      <c r="D1356" s="21"/>
    </row>
    <row r="1357" spans="4:4" x14ac:dyDescent="0.3">
      <c r="D1357" s="21"/>
    </row>
    <row r="1358" spans="4:4" x14ac:dyDescent="0.3">
      <c r="D1358" s="21"/>
    </row>
    <row r="1359" spans="4:4" x14ac:dyDescent="0.3">
      <c r="D1359" s="21"/>
    </row>
    <row r="1360" spans="4:4" x14ac:dyDescent="0.3">
      <c r="D1360" s="21"/>
    </row>
    <row r="1361" spans="4:4" x14ac:dyDescent="0.3">
      <c r="D1361" s="21"/>
    </row>
    <row r="1362" spans="4:4" x14ac:dyDescent="0.3">
      <c r="D1362" s="21"/>
    </row>
    <row r="1363" spans="4:4" x14ac:dyDescent="0.3">
      <c r="D1363" s="21"/>
    </row>
    <row r="1364" spans="4:4" x14ac:dyDescent="0.3">
      <c r="D1364" s="21"/>
    </row>
    <row r="1365" spans="4:4" x14ac:dyDescent="0.3">
      <c r="D1365" s="21"/>
    </row>
    <row r="1366" spans="4:4" x14ac:dyDescent="0.3">
      <c r="D1366" s="21"/>
    </row>
    <row r="1367" spans="4:4" x14ac:dyDescent="0.3">
      <c r="D1367" s="21"/>
    </row>
    <row r="1368" spans="4:4" x14ac:dyDescent="0.3">
      <c r="D1368" s="21"/>
    </row>
    <row r="1369" spans="4:4" x14ac:dyDescent="0.3">
      <c r="D1369" s="21"/>
    </row>
    <row r="1370" spans="4:4" x14ac:dyDescent="0.3">
      <c r="D1370" s="21"/>
    </row>
    <row r="1371" spans="4:4" x14ac:dyDescent="0.3">
      <c r="D1371" s="21"/>
    </row>
    <row r="1372" spans="4:4" x14ac:dyDescent="0.3">
      <c r="D1372" s="21"/>
    </row>
    <row r="1373" spans="4:4" x14ac:dyDescent="0.3">
      <c r="D1373" s="21"/>
    </row>
    <row r="1374" spans="4:4" x14ac:dyDescent="0.3">
      <c r="D1374" s="21"/>
    </row>
    <row r="1375" spans="4:4" x14ac:dyDescent="0.3">
      <c r="D1375" s="21"/>
    </row>
    <row r="1376" spans="4:4" x14ac:dyDescent="0.3">
      <c r="D1376" s="21"/>
    </row>
    <row r="1377" spans="4:4" x14ac:dyDescent="0.3">
      <c r="D1377" s="21"/>
    </row>
    <row r="1378" spans="4:4" x14ac:dyDescent="0.3">
      <c r="D1378" s="21"/>
    </row>
    <row r="1379" spans="4:4" x14ac:dyDescent="0.3">
      <c r="D1379" s="21"/>
    </row>
    <row r="1380" spans="4:4" x14ac:dyDescent="0.3">
      <c r="D1380" s="21"/>
    </row>
    <row r="1381" spans="4:4" x14ac:dyDescent="0.3">
      <c r="D1381" s="21"/>
    </row>
    <row r="1382" spans="4:4" x14ac:dyDescent="0.3">
      <c r="D1382" s="21"/>
    </row>
    <row r="1383" spans="4:4" x14ac:dyDescent="0.3">
      <c r="D1383" s="21"/>
    </row>
    <row r="1384" spans="4:4" x14ac:dyDescent="0.3">
      <c r="D1384" s="21"/>
    </row>
    <row r="1385" spans="4:4" x14ac:dyDescent="0.3">
      <c r="D1385" s="21"/>
    </row>
    <row r="1386" spans="4:4" x14ac:dyDescent="0.3">
      <c r="D1386" s="21"/>
    </row>
    <row r="1387" spans="4:4" x14ac:dyDescent="0.3">
      <c r="D1387" s="21"/>
    </row>
    <row r="1388" spans="4:4" x14ac:dyDescent="0.3">
      <c r="D1388" s="21"/>
    </row>
    <row r="1389" spans="4:4" x14ac:dyDescent="0.3">
      <c r="D1389" s="21"/>
    </row>
    <row r="1390" spans="4:4" x14ac:dyDescent="0.3">
      <c r="D1390" s="21"/>
    </row>
    <row r="1391" spans="4:4" x14ac:dyDescent="0.3">
      <c r="D1391" s="21"/>
    </row>
    <row r="1392" spans="4:4" x14ac:dyDescent="0.3">
      <c r="D1392" s="21"/>
    </row>
    <row r="1393" spans="4:4" x14ac:dyDescent="0.3">
      <c r="D1393" s="21"/>
    </row>
    <row r="1394" spans="4:4" x14ac:dyDescent="0.3">
      <c r="D1394" s="21"/>
    </row>
    <row r="1395" spans="4:4" x14ac:dyDescent="0.3">
      <c r="D1395" s="21"/>
    </row>
    <row r="1396" spans="4:4" x14ac:dyDescent="0.3">
      <c r="D1396" s="21"/>
    </row>
    <row r="1397" spans="4:4" x14ac:dyDescent="0.3">
      <c r="D1397" s="21"/>
    </row>
    <row r="1398" spans="4:4" x14ac:dyDescent="0.3">
      <c r="D1398" s="21"/>
    </row>
    <row r="1399" spans="4:4" x14ac:dyDescent="0.3">
      <c r="D1399" s="21"/>
    </row>
    <row r="1400" spans="4:4" x14ac:dyDescent="0.3">
      <c r="D1400" s="21"/>
    </row>
    <row r="1401" spans="4:4" x14ac:dyDescent="0.3">
      <c r="D1401" s="21"/>
    </row>
    <row r="1402" spans="4:4" x14ac:dyDescent="0.3">
      <c r="D1402" s="21"/>
    </row>
    <row r="1403" spans="4:4" x14ac:dyDescent="0.3">
      <c r="D1403" s="21"/>
    </row>
    <row r="1404" spans="4:4" x14ac:dyDescent="0.3">
      <c r="D1404" s="21"/>
    </row>
    <row r="1405" spans="4:4" x14ac:dyDescent="0.3">
      <c r="D1405" s="21"/>
    </row>
    <row r="1406" spans="4:4" x14ac:dyDescent="0.3">
      <c r="D1406" s="21"/>
    </row>
    <row r="1407" spans="4:4" x14ac:dyDescent="0.3">
      <c r="D1407" s="21"/>
    </row>
    <row r="1408" spans="4:4" x14ac:dyDescent="0.3">
      <c r="D1408" s="21"/>
    </row>
    <row r="1409" spans="4:4" x14ac:dyDescent="0.3">
      <c r="D1409" s="21"/>
    </row>
    <row r="1410" spans="4:4" x14ac:dyDescent="0.3">
      <c r="D1410" s="21"/>
    </row>
    <row r="1411" spans="4:4" x14ac:dyDescent="0.3">
      <c r="D1411" s="21"/>
    </row>
    <row r="1412" spans="4:4" x14ac:dyDescent="0.3">
      <c r="D1412" s="21"/>
    </row>
    <row r="1413" spans="4:4" x14ac:dyDescent="0.3">
      <c r="D1413" s="21"/>
    </row>
    <row r="1414" spans="4:4" x14ac:dyDescent="0.3">
      <c r="D1414" s="21"/>
    </row>
    <row r="1415" spans="4:4" x14ac:dyDescent="0.3">
      <c r="D1415" s="21"/>
    </row>
    <row r="1416" spans="4:4" x14ac:dyDescent="0.3">
      <c r="D1416" s="21"/>
    </row>
    <row r="1417" spans="4:4" x14ac:dyDescent="0.3">
      <c r="D1417" s="21"/>
    </row>
    <row r="1418" spans="4:4" x14ac:dyDescent="0.3">
      <c r="D1418" s="21"/>
    </row>
    <row r="1419" spans="4:4" x14ac:dyDescent="0.3">
      <c r="D1419" s="21"/>
    </row>
    <row r="1420" spans="4:4" x14ac:dyDescent="0.3">
      <c r="D1420" s="21"/>
    </row>
    <row r="1421" spans="4:4" x14ac:dyDescent="0.3">
      <c r="D1421" s="21"/>
    </row>
    <row r="1422" spans="4:4" x14ac:dyDescent="0.3">
      <c r="D1422" s="21"/>
    </row>
    <row r="1423" spans="4:4" x14ac:dyDescent="0.3">
      <c r="D1423" s="21"/>
    </row>
    <row r="1424" spans="4:4" x14ac:dyDescent="0.3">
      <c r="D1424" s="21"/>
    </row>
    <row r="1425" spans="4:4" x14ac:dyDescent="0.3">
      <c r="D1425" s="21"/>
    </row>
    <row r="1426" spans="4:4" x14ac:dyDescent="0.3">
      <c r="D1426" s="21"/>
    </row>
    <row r="1427" spans="4:4" x14ac:dyDescent="0.3">
      <c r="D1427" s="21"/>
    </row>
    <row r="1428" spans="4:4" x14ac:dyDescent="0.3">
      <c r="D1428" s="21"/>
    </row>
    <row r="1429" spans="4:4" x14ac:dyDescent="0.3">
      <c r="D1429" s="21"/>
    </row>
    <row r="1430" spans="4:4" x14ac:dyDescent="0.3">
      <c r="D1430" s="21"/>
    </row>
    <row r="1431" spans="4:4" x14ac:dyDescent="0.3">
      <c r="D1431" s="21"/>
    </row>
    <row r="1432" spans="4:4" x14ac:dyDescent="0.3">
      <c r="D1432" s="21"/>
    </row>
    <row r="1433" spans="4:4" x14ac:dyDescent="0.3">
      <c r="D1433" s="21"/>
    </row>
    <row r="1434" spans="4:4" x14ac:dyDescent="0.3">
      <c r="D1434" s="21"/>
    </row>
    <row r="1435" spans="4:4" x14ac:dyDescent="0.3">
      <c r="D1435" s="21"/>
    </row>
    <row r="1436" spans="4:4" x14ac:dyDescent="0.3">
      <c r="D1436" s="21"/>
    </row>
    <row r="1437" spans="4:4" x14ac:dyDescent="0.3">
      <c r="D1437" s="21"/>
    </row>
    <row r="1438" spans="4:4" x14ac:dyDescent="0.3">
      <c r="D1438" s="21"/>
    </row>
    <row r="1439" spans="4:4" x14ac:dyDescent="0.3">
      <c r="D1439" s="21"/>
    </row>
    <row r="1440" spans="4:4" x14ac:dyDescent="0.3">
      <c r="D1440" s="21"/>
    </row>
    <row r="1441" spans="4:4" x14ac:dyDescent="0.3">
      <c r="D1441" s="21"/>
    </row>
    <row r="1442" spans="4:4" x14ac:dyDescent="0.3">
      <c r="D1442" s="21"/>
    </row>
    <row r="1443" spans="4:4" x14ac:dyDescent="0.3">
      <c r="D1443" s="21"/>
    </row>
    <row r="1444" spans="4:4" x14ac:dyDescent="0.3">
      <c r="D1444" s="21"/>
    </row>
    <row r="1445" spans="4:4" x14ac:dyDescent="0.3">
      <c r="D1445" s="21"/>
    </row>
    <row r="1446" spans="4:4" x14ac:dyDescent="0.3">
      <c r="D1446" s="21"/>
    </row>
    <row r="1447" spans="4:4" x14ac:dyDescent="0.3">
      <c r="D1447" s="21"/>
    </row>
    <row r="1448" spans="4:4" x14ac:dyDescent="0.3">
      <c r="D1448" s="21"/>
    </row>
    <row r="1449" spans="4:4" x14ac:dyDescent="0.3">
      <c r="D1449" s="21"/>
    </row>
    <row r="1450" spans="4:4" x14ac:dyDescent="0.3">
      <c r="D1450" s="21"/>
    </row>
    <row r="1451" spans="4:4" x14ac:dyDescent="0.3">
      <c r="D1451" s="21"/>
    </row>
    <row r="1452" spans="4:4" x14ac:dyDescent="0.3">
      <c r="D1452" s="21"/>
    </row>
    <row r="1453" spans="4:4" x14ac:dyDescent="0.3">
      <c r="D1453" s="21"/>
    </row>
    <row r="1454" spans="4:4" x14ac:dyDescent="0.3">
      <c r="D1454" s="21"/>
    </row>
    <row r="1455" spans="4:4" x14ac:dyDescent="0.3">
      <c r="D1455" s="21"/>
    </row>
    <row r="1456" spans="4:4" x14ac:dyDescent="0.3">
      <c r="D1456" s="21"/>
    </row>
    <row r="1457" spans="4:4" x14ac:dyDescent="0.3">
      <c r="D1457" s="21"/>
    </row>
    <row r="1458" spans="4:4" x14ac:dyDescent="0.3">
      <c r="D1458" s="21"/>
    </row>
    <row r="1459" spans="4:4" x14ac:dyDescent="0.3">
      <c r="D1459" s="21"/>
    </row>
    <row r="1460" spans="4:4" x14ac:dyDescent="0.3">
      <c r="D1460" s="21"/>
    </row>
    <row r="1461" spans="4:4" x14ac:dyDescent="0.3">
      <c r="D1461" s="21"/>
    </row>
    <row r="1462" spans="4:4" x14ac:dyDescent="0.3">
      <c r="D1462" s="21"/>
    </row>
    <row r="1463" spans="4:4" x14ac:dyDescent="0.3">
      <c r="D1463" s="21"/>
    </row>
    <row r="1464" spans="4:4" x14ac:dyDescent="0.3">
      <c r="D1464" s="21"/>
    </row>
    <row r="1465" spans="4:4" x14ac:dyDescent="0.3">
      <c r="D1465" s="21"/>
    </row>
    <row r="1466" spans="4:4" x14ac:dyDescent="0.3">
      <c r="D1466" s="21"/>
    </row>
    <row r="1467" spans="4:4" x14ac:dyDescent="0.3">
      <c r="D1467" s="21"/>
    </row>
    <row r="1468" spans="4:4" x14ac:dyDescent="0.3">
      <c r="D1468" s="21"/>
    </row>
    <row r="1469" spans="4:4" x14ac:dyDescent="0.3">
      <c r="D1469" s="21"/>
    </row>
    <row r="1470" spans="4:4" x14ac:dyDescent="0.3">
      <c r="D1470" s="21"/>
    </row>
    <row r="1471" spans="4:4" x14ac:dyDescent="0.3">
      <c r="D1471" s="21"/>
    </row>
    <row r="1472" spans="4:4" x14ac:dyDescent="0.3">
      <c r="D1472" s="21"/>
    </row>
    <row r="1473" spans="4:4" x14ac:dyDescent="0.3">
      <c r="D1473" s="21"/>
    </row>
    <row r="1474" spans="4:4" x14ac:dyDescent="0.3">
      <c r="D1474" s="21"/>
    </row>
    <row r="1475" spans="4:4" x14ac:dyDescent="0.3">
      <c r="D1475" s="21"/>
    </row>
    <row r="1476" spans="4:4" x14ac:dyDescent="0.3">
      <c r="D1476" s="21"/>
    </row>
    <row r="1477" spans="4:4" x14ac:dyDescent="0.3">
      <c r="D1477" s="21"/>
    </row>
    <row r="1478" spans="4:4" x14ac:dyDescent="0.3">
      <c r="D1478" s="21"/>
    </row>
    <row r="1479" spans="4:4" x14ac:dyDescent="0.3">
      <c r="D1479" s="21"/>
    </row>
    <row r="1480" spans="4:4" x14ac:dyDescent="0.3">
      <c r="D1480" s="21"/>
    </row>
    <row r="1481" spans="4:4" x14ac:dyDescent="0.3">
      <c r="D1481" s="21"/>
    </row>
    <row r="1482" spans="4:4" x14ac:dyDescent="0.3">
      <c r="D1482" s="21"/>
    </row>
    <row r="1483" spans="4:4" x14ac:dyDescent="0.3">
      <c r="D1483" s="21"/>
    </row>
    <row r="1484" spans="4:4" x14ac:dyDescent="0.3">
      <c r="D1484" s="21"/>
    </row>
    <row r="1485" spans="4:4" x14ac:dyDescent="0.3">
      <c r="D1485" s="21"/>
    </row>
    <row r="1486" spans="4:4" x14ac:dyDescent="0.3">
      <c r="D1486" s="21"/>
    </row>
    <row r="1487" spans="4:4" x14ac:dyDescent="0.3">
      <c r="D1487" s="21"/>
    </row>
    <row r="1488" spans="4:4" x14ac:dyDescent="0.3">
      <c r="D1488" s="21"/>
    </row>
    <row r="1489" spans="4:4" x14ac:dyDescent="0.3">
      <c r="D1489" s="21"/>
    </row>
    <row r="1490" spans="4:4" x14ac:dyDescent="0.3">
      <c r="D1490" s="21"/>
    </row>
    <row r="1491" spans="4:4" x14ac:dyDescent="0.3">
      <c r="D1491" s="21"/>
    </row>
    <row r="1492" spans="4:4" x14ac:dyDescent="0.3">
      <c r="D1492" s="21"/>
    </row>
    <row r="1493" spans="4:4" x14ac:dyDescent="0.3">
      <c r="D1493" s="21"/>
    </row>
    <row r="1494" spans="4:4" x14ac:dyDescent="0.3">
      <c r="D1494" s="21"/>
    </row>
    <row r="1495" spans="4:4" x14ac:dyDescent="0.3">
      <c r="D1495" s="21"/>
    </row>
    <row r="1496" spans="4:4" x14ac:dyDescent="0.3">
      <c r="D1496" s="21"/>
    </row>
    <row r="1497" spans="4:4" x14ac:dyDescent="0.3">
      <c r="D1497" s="21"/>
    </row>
    <row r="1498" spans="4:4" x14ac:dyDescent="0.3">
      <c r="D1498" s="21"/>
    </row>
    <row r="1499" spans="4:4" x14ac:dyDescent="0.3">
      <c r="D1499" s="21"/>
    </row>
    <row r="1500" spans="4:4" x14ac:dyDescent="0.3">
      <c r="D1500" s="21"/>
    </row>
    <row r="1501" spans="4:4" x14ac:dyDescent="0.3">
      <c r="D1501" s="21"/>
    </row>
    <row r="1502" spans="4:4" x14ac:dyDescent="0.3">
      <c r="D1502" s="21"/>
    </row>
    <row r="1503" spans="4:4" x14ac:dyDescent="0.3">
      <c r="D1503" s="21"/>
    </row>
    <row r="1504" spans="4:4" x14ac:dyDescent="0.3">
      <c r="D1504" s="21"/>
    </row>
    <row r="1505" spans="4:4" x14ac:dyDescent="0.3">
      <c r="D1505" s="21"/>
    </row>
    <row r="1506" spans="4:4" x14ac:dyDescent="0.3">
      <c r="D1506" s="21"/>
    </row>
    <row r="1507" spans="4:4" x14ac:dyDescent="0.3">
      <c r="D1507" s="21"/>
    </row>
    <row r="1508" spans="4:4" x14ac:dyDescent="0.3">
      <c r="D1508" s="21"/>
    </row>
    <row r="1509" spans="4:4" x14ac:dyDescent="0.3">
      <c r="D1509" s="21"/>
    </row>
    <row r="1510" spans="4:4" x14ac:dyDescent="0.3">
      <c r="D1510" s="21"/>
    </row>
    <row r="1511" spans="4:4" x14ac:dyDescent="0.3">
      <c r="D1511" s="21"/>
    </row>
    <row r="1512" spans="4:4" x14ac:dyDescent="0.3">
      <c r="D1512" s="21"/>
    </row>
    <row r="1513" spans="4:4" x14ac:dyDescent="0.3">
      <c r="D1513" s="21"/>
    </row>
    <row r="1514" spans="4:4" x14ac:dyDescent="0.3">
      <c r="D1514" s="21"/>
    </row>
    <row r="1515" spans="4:4" x14ac:dyDescent="0.3">
      <c r="D1515" s="21"/>
    </row>
    <row r="1516" spans="4:4" x14ac:dyDescent="0.3">
      <c r="D1516" s="21"/>
    </row>
    <row r="1517" spans="4:4" x14ac:dyDescent="0.3">
      <c r="D1517" s="21"/>
    </row>
    <row r="1518" spans="4:4" x14ac:dyDescent="0.3">
      <c r="D1518" s="21"/>
    </row>
    <row r="1519" spans="4:4" x14ac:dyDescent="0.3">
      <c r="D1519" s="21"/>
    </row>
    <row r="1520" spans="4:4" x14ac:dyDescent="0.3">
      <c r="D1520" s="21"/>
    </row>
    <row r="1521" spans="4:4" x14ac:dyDescent="0.3">
      <c r="D1521" s="21"/>
    </row>
    <row r="1522" spans="4:4" x14ac:dyDescent="0.3">
      <c r="D1522" s="21"/>
    </row>
    <row r="1523" spans="4:4" x14ac:dyDescent="0.3">
      <c r="D1523" s="21"/>
    </row>
    <row r="1524" spans="4:4" x14ac:dyDescent="0.3">
      <c r="D1524" s="21"/>
    </row>
    <row r="1525" spans="4:4" x14ac:dyDescent="0.3">
      <c r="D1525" s="21"/>
    </row>
    <row r="1526" spans="4:4" x14ac:dyDescent="0.3">
      <c r="D1526" s="21"/>
    </row>
    <row r="1527" spans="4:4" x14ac:dyDescent="0.3">
      <c r="D1527" s="21"/>
    </row>
    <row r="1528" spans="4:4" x14ac:dyDescent="0.3">
      <c r="D1528" s="21"/>
    </row>
    <row r="1529" spans="4:4" x14ac:dyDescent="0.3">
      <c r="D1529" s="21"/>
    </row>
    <row r="1530" spans="4:4" x14ac:dyDescent="0.3">
      <c r="D1530" s="21"/>
    </row>
    <row r="1531" spans="4:4" x14ac:dyDescent="0.3">
      <c r="D1531" s="21"/>
    </row>
    <row r="1532" spans="4:4" x14ac:dyDescent="0.3">
      <c r="D1532" s="21"/>
    </row>
    <row r="1533" spans="4:4" x14ac:dyDescent="0.3">
      <c r="D1533" s="21"/>
    </row>
    <row r="1534" spans="4:4" x14ac:dyDescent="0.3">
      <c r="D1534" s="21"/>
    </row>
    <row r="1535" spans="4:4" x14ac:dyDescent="0.3">
      <c r="D1535" s="21"/>
    </row>
    <row r="1536" spans="4:4" x14ac:dyDescent="0.3">
      <c r="D1536" s="21"/>
    </row>
    <row r="1537" spans="4:4" x14ac:dyDescent="0.3">
      <c r="D1537" s="21"/>
    </row>
    <row r="1538" spans="4:4" x14ac:dyDescent="0.3">
      <c r="D1538" s="21"/>
    </row>
    <row r="1539" spans="4:4" x14ac:dyDescent="0.3">
      <c r="D1539" s="21"/>
    </row>
    <row r="1540" spans="4:4" x14ac:dyDescent="0.3">
      <c r="D1540" s="21"/>
    </row>
    <row r="1541" spans="4:4" x14ac:dyDescent="0.3">
      <c r="D1541" s="21"/>
    </row>
    <row r="1542" spans="4:4" x14ac:dyDescent="0.3">
      <c r="D1542" s="21"/>
    </row>
    <row r="1543" spans="4:4" x14ac:dyDescent="0.3">
      <c r="D1543" s="21"/>
    </row>
    <row r="1544" spans="4:4" x14ac:dyDescent="0.3">
      <c r="D1544" s="21"/>
    </row>
    <row r="1545" spans="4:4" x14ac:dyDescent="0.3">
      <c r="D1545" s="21"/>
    </row>
    <row r="1546" spans="4:4" x14ac:dyDescent="0.3">
      <c r="D1546" s="21"/>
    </row>
    <row r="1547" spans="4:4" x14ac:dyDescent="0.3">
      <c r="D1547" s="21"/>
    </row>
    <row r="1548" spans="4:4" x14ac:dyDescent="0.3">
      <c r="D1548" s="21"/>
    </row>
    <row r="1549" spans="4:4" x14ac:dyDescent="0.3">
      <c r="D1549" s="21"/>
    </row>
    <row r="1550" spans="4:4" x14ac:dyDescent="0.3">
      <c r="D1550" s="21"/>
    </row>
    <row r="1551" spans="4:4" x14ac:dyDescent="0.3">
      <c r="D1551" s="21"/>
    </row>
    <row r="1552" spans="4:4" x14ac:dyDescent="0.3">
      <c r="D1552" s="21"/>
    </row>
    <row r="1553" spans="4:4" x14ac:dyDescent="0.3">
      <c r="D1553" s="21"/>
    </row>
    <row r="1554" spans="4:4" x14ac:dyDescent="0.3">
      <c r="D1554" s="21"/>
    </row>
    <row r="1555" spans="4:4" x14ac:dyDescent="0.3">
      <c r="D1555" s="21"/>
    </row>
    <row r="1556" spans="4:4" x14ac:dyDescent="0.3">
      <c r="D1556" s="21"/>
    </row>
    <row r="1557" spans="4:4" x14ac:dyDescent="0.3">
      <c r="D1557" s="21"/>
    </row>
    <row r="1558" spans="4:4" x14ac:dyDescent="0.3">
      <c r="D1558" s="21"/>
    </row>
    <row r="1559" spans="4:4" x14ac:dyDescent="0.3">
      <c r="D1559" s="21"/>
    </row>
    <row r="1560" spans="4:4" x14ac:dyDescent="0.3">
      <c r="D1560" s="21"/>
    </row>
    <row r="1561" spans="4:4" x14ac:dyDescent="0.3">
      <c r="D1561" s="21"/>
    </row>
    <row r="1562" spans="4:4" x14ac:dyDescent="0.3">
      <c r="D1562" s="21"/>
    </row>
    <row r="1563" spans="4:4" x14ac:dyDescent="0.3">
      <c r="D1563" s="21"/>
    </row>
    <row r="1564" spans="4:4" x14ac:dyDescent="0.3">
      <c r="D1564" s="21"/>
    </row>
    <row r="1565" spans="4:4" x14ac:dyDescent="0.3">
      <c r="D1565" s="21"/>
    </row>
    <row r="1566" spans="4:4" x14ac:dyDescent="0.3">
      <c r="D1566" s="21"/>
    </row>
    <row r="1567" spans="4:4" x14ac:dyDescent="0.3">
      <c r="D1567" s="21"/>
    </row>
    <row r="1568" spans="4:4" x14ac:dyDescent="0.3">
      <c r="D1568" s="21"/>
    </row>
    <row r="1569" spans="4:4" x14ac:dyDescent="0.3">
      <c r="D1569" s="21"/>
    </row>
    <row r="1570" spans="4:4" x14ac:dyDescent="0.3">
      <c r="D1570" s="21"/>
    </row>
    <row r="1571" spans="4:4" x14ac:dyDescent="0.3">
      <c r="D1571" s="21"/>
    </row>
    <row r="1572" spans="4:4" x14ac:dyDescent="0.3">
      <c r="D1572" s="21"/>
    </row>
  </sheetData>
  <mergeCells count="5">
    <mergeCell ref="P62:U62"/>
    <mergeCell ref="P63:U63"/>
    <mergeCell ref="R2:X2"/>
    <mergeCell ref="A22:A43"/>
    <mergeCell ref="A44:A46"/>
  </mergeCells>
  <dataValidations count="1">
    <dataValidation type="decimal" operator="greaterThan" allowBlank="1" showInputMessage="1" showErrorMessage="1" sqref="AB38 U6:U59 W6:W59" xr:uid="{2C5C1B37-10C1-4598-B984-4A651771C79B}">
      <formula1>0</formula1>
    </dataValidation>
  </dataValidations>
  <hyperlinks>
    <hyperlink ref="P64" location="'Main Menu'!A1" display="'Main Menu'!A1" xr:uid="{14C1F6B3-8CBE-4A4D-BA69-7A7CF04C3A17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9349-DF46-49C1-90EB-8C631FC76AF4}">
  <dimension ref="A1:O15"/>
  <sheetViews>
    <sheetView workbookViewId="0">
      <selection activeCell="O2" sqref="O2"/>
    </sheetView>
  </sheetViews>
  <sheetFormatPr defaultRowHeight="14.4" x14ac:dyDescent="0.3"/>
  <cols>
    <col min="6" max="6" width="10.109375" bestFit="1" customWidth="1"/>
    <col min="14" max="14" width="15.109375" bestFit="1" customWidth="1"/>
  </cols>
  <sheetData>
    <row r="1" spans="1:15" ht="43.2" x14ac:dyDescent="0.3">
      <c r="A1" s="164" t="s">
        <v>7</v>
      </c>
      <c r="B1" s="165"/>
      <c r="C1" s="168" t="s">
        <v>8</v>
      </c>
      <c r="D1" s="170" t="s">
        <v>9</v>
      </c>
      <c r="E1" s="3" t="s">
        <v>10</v>
      </c>
      <c r="F1" s="4">
        <v>45803</v>
      </c>
      <c r="N1" t="s">
        <v>5</v>
      </c>
      <c r="O1" t="s">
        <v>6</v>
      </c>
    </row>
    <row r="2" spans="1:15" ht="15" thickBot="1" x14ac:dyDescent="0.35">
      <c r="A2" s="166"/>
      <c r="B2" s="167"/>
      <c r="C2" s="169"/>
      <c r="D2" s="171"/>
      <c r="E2" s="5" t="s">
        <v>11</v>
      </c>
      <c r="F2" s="6" t="s">
        <v>12</v>
      </c>
      <c r="G2" t="s">
        <v>29</v>
      </c>
      <c r="M2" s="7" t="s">
        <v>14</v>
      </c>
      <c r="N2">
        <f>3/12</f>
        <v>0.25</v>
      </c>
      <c r="O2" s="21">
        <f>G3</f>
        <v>7.513888888888888E-2</v>
      </c>
    </row>
    <row r="3" spans="1:15" x14ac:dyDescent="0.3">
      <c r="A3" s="172" t="s">
        <v>13</v>
      </c>
      <c r="B3" s="7" t="s">
        <v>14</v>
      </c>
      <c r="C3" s="8">
        <v>7.6499999999999999E-2</v>
      </c>
      <c r="D3" s="9">
        <v>7.4723312356575755E-2</v>
      </c>
      <c r="E3" s="9">
        <v>7.6111111111111102E-2</v>
      </c>
      <c r="F3" s="10">
        <v>7.4166666666666659E-2</v>
      </c>
      <c r="G3" s="22">
        <f>AVERAGE(E3,F3)</f>
        <v>7.513888888888888E-2</v>
      </c>
      <c r="M3" s="11" t="s">
        <v>15</v>
      </c>
      <c r="N3">
        <f>6/12</f>
        <v>0.5</v>
      </c>
      <c r="O3" s="21">
        <f t="shared" ref="O3:O13" si="0">G4</f>
        <v>7.7277777777777779E-2</v>
      </c>
    </row>
    <row r="4" spans="1:15" x14ac:dyDescent="0.3">
      <c r="A4" s="172"/>
      <c r="B4" s="11" t="s">
        <v>15</v>
      </c>
      <c r="C4" s="12">
        <v>7.9699999999999993E-2</v>
      </c>
      <c r="D4" s="13">
        <v>7.8051253324298825E-2</v>
      </c>
      <c r="E4" s="13">
        <v>7.8166666666666662E-2</v>
      </c>
      <c r="F4" s="14">
        <v>7.6388888888888895E-2</v>
      </c>
      <c r="G4" s="22">
        <f t="shared" ref="G4:G14" si="1">AVERAGE(E4,F4)</f>
        <v>7.7277777777777779E-2</v>
      </c>
      <c r="M4" s="7" t="s">
        <v>16</v>
      </c>
      <c r="N4">
        <v>1</v>
      </c>
      <c r="O4" s="21">
        <f t="shared" si="0"/>
        <v>8.1040000000000001E-2</v>
      </c>
    </row>
    <row r="5" spans="1:15" x14ac:dyDescent="0.3">
      <c r="A5" s="173"/>
      <c r="B5" s="7" t="s">
        <v>16</v>
      </c>
      <c r="C5" s="15">
        <v>8.2900000000000001E-2</v>
      </c>
      <c r="D5" s="16">
        <v>8.1587808684078431E-2</v>
      </c>
      <c r="E5" s="16">
        <v>8.1729999999999997E-2</v>
      </c>
      <c r="F5" s="17">
        <v>8.0349999999999991E-2</v>
      </c>
      <c r="G5" s="22">
        <f t="shared" si="1"/>
        <v>8.1040000000000001E-2</v>
      </c>
      <c r="M5" s="11" t="s">
        <v>18</v>
      </c>
      <c r="N5">
        <v>2</v>
      </c>
      <c r="O5" s="21">
        <f t="shared" si="0"/>
        <v>8.7494664682539677E-2</v>
      </c>
    </row>
    <row r="6" spans="1:15" x14ac:dyDescent="0.3">
      <c r="A6" s="174" t="s">
        <v>17</v>
      </c>
      <c r="B6" s="11" t="s">
        <v>18</v>
      </c>
      <c r="C6" s="12">
        <v>0.13830000000000001</v>
      </c>
      <c r="D6" s="13">
        <v>8.2909848484848475E-2</v>
      </c>
      <c r="E6" s="13">
        <v>8.8191420634920623E-2</v>
      </c>
      <c r="F6" s="14">
        <v>8.6797908730158732E-2</v>
      </c>
      <c r="G6" s="22">
        <f t="shared" si="1"/>
        <v>8.7494664682539677E-2</v>
      </c>
      <c r="M6" s="7" t="s">
        <v>19</v>
      </c>
      <c r="N6">
        <v>3</v>
      </c>
      <c r="O6" s="21">
        <f t="shared" si="0"/>
        <v>9.5473328224206344E-2</v>
      </c>
    </row>
    <row r="7" spans="1:15" x14ac:dyDescent="0.3">
      <c r="A7" s="172"/>
      <c r="B7" s="7" t="s">
        <v>19</v>
      </c>
      <c r="C7" s="15">
        <v>0.1179</v>
      </c>
      <c r="D7" s="16">
        <v>9.4498297890216201E-2</v>
      </c>
      <c r="E7" s="16">
        <v>9.6325113938492052E-2</v>
      </c>
      <c r="F7" s="17">
        <v>9.4621542509920636E-2</v>
      </c>
      <c r="G7" s="22">
        <f t="shared" si="1"/>
        <v>9.5473328224206344E-2</v>
      </c>
      <c r="M7" s="11" t="s">
        <v>20</v>
      </c>
      <c r="N7">
        <v>4</v>
      </c>
      <c r="O7" s="21">
        <f t="shared" si="0"/>
        <v>0.10017698412698411</v>
      </c>
    </row>
    <row r="8" spans="1:15" x14ac:dyDescent="0.3">
      <c r="A8" s="172"/>
      <c r="B8" s="11" t="s">
        <v>20</v>
      </c>
      <c r="C8" s="12">
        <v>0.1022</v>
      </c>
      <c r="D8" s="13">
        <v>0.10299999999999999</v>
      </c>
      <c r="E8" s="13">
        <v>0.10075033333333332</v>
      </c>
      <c r="F8" s="14">
        <v>9.9603634920634926E-2</v>
      </c>
      <c r="G8" s="22">
        <f t="shared" si="1"/>
        <v>0.10017698412698411</v>
      </c>
      <c r="M8" s="7" t="s">
        <v>21</v>
      </c>
      <c r="N8">
        <v>5</v>
      </c>
      <c r="O8" s="21">
        <f t="shared" si="0"/>
        <v>0.10209940476190477</v>
      </c>
    </row>
    <row r="9" spans="1:15" x14ac:dyDescent="0.3">
      <c r="A9" s="172"/>
      <c r="B9" s="7" t="s">
        <v>21</v>
      </c>
      <c r="C9" s="15">
        <v>0.10639999999999999</v>
      </c>
      <c r="D9" s="16">
        <v>9.9250000000000102E-2</v>
      </c>
      <c r="E9" s="16">
        <v>0.10269988095238096</v>
      </c>
      <c r="F9" s="17">
        <v>0.10149892857142857</v>
      </c>
      <c r="G9" s="22">
        <f t="shared" si="1"/>
        <v>0.10209940476190477</v>
      </c>
      <c r="M9" s="11" t="s">
        <v>22</v>
      </c>
      <c r="N9">
        <v>6</v>
      </c>
      <c r="O9" s="21">
        <f t="shared" si="0"/>
        <v>0.10541666666666666</v>
      </c>
    </row>
    <row r="10" spans="1:15" x14ac:dyDescent="0.3">
      <c r="A10" s="172"/>
      <c r="B10" s="11" t="s">
        <v>22</v>
      </c>
      <c r="C10" s="12">
        <v>0.1096</v>
      </c>
      <c r="D10" s="13">
        <v>0.10737980855930668</v>
      </c>
      <c r="E10" s="13">
        <v>0.10609374999999999</v>
      </c>
      <c r="F10" s="14">
        <v>0.10473958333333334</v>
      </c>
      <c r="G10" s="22">
        <f t="shared" si="1"/>
        <v>0.10541666666666666</v>
      </c>
      <c r="M10" s="7" t="s">
        <v>23</v>
      </c>
      <c r="N10">
        <v>8</v>
      </c>
      <c r="O10" s="21">
        <f t="shared" si="0"/>
        <v>0.10808549107142856</v>
      </c>
    </row>
    <row r="11" spans="1:15" x14ac:dyDescent="0.3">
      <c r="A11" s="172"/>
      <c r="B11" s="7" t="s">
        <v>23</v>
      </c>
      <c r="C11" s="15">
        <v>0.10970000000000001</v>
      </c>
      <c r="D11" s="16" t="s">
        <v>24</v>
      </c>
      <c r="E11" s="16">
        <v>0.108890625</v>
      </c>
      <c r="F11" s="17">
        <v>0.10728035714285714</v>
      </c>
      <c r="G11" s="22">
        <f t="shared" si="1"/>
        <v>0.10808549107142856</v>
      </c>
      <c r="M11" s="11" t="s">
        <v>25</v>
      </c>
      <c r="N11">
        <v>10</v>
      </c>
      <c r="O11" s="21">
        <f t="shared" si="0"/>
        <v>0.11227823660714287</v>
      </c>
    </row>
    <row r="12" spans="1:15" x14ac:dyDescent="0.3">
      <c r="A12" s="172"/>
      <c r="B12" s="11" t="s">
        <v>25</v>
      </c>
      <c r="C12" s="12">
        <v>0.11219999999999999</v>
      </c>
      <c r="D12" s="13">
        <v>0.10954999999999998</v>
      </c>
      <c r="E12" s="13">
        <v>0.11352522321428572</v>
      </c>
      <c r="F12" s="14">
        <v>0.11103125</v>
      </c>
      <c r="G12" s="22">
        <f t="shared" si="1"/>
        <v>0.11227823660714287</v>
      </c>
      <c r="M12" s="7" t="s">
        <v>26</v>
      </c>
      <c r="N12">
        <v>15</v>
      </c>
      <c r="O12" s="21">
        <f t="shared" si="0"/>
        <v>0.1159125</v>
      </c>
    </row>
    <row r="13" spans="1:15" x14ac:dyDescent="0.3">
      <c r="A13" s="172"/>
      <c r="B13" s="7" t="s">
        <v>26</v>
      </c>
      <c r="C13" s="15">
        <v>0.13139999999999999</v>
      </c>
      <c r="D13" s="16" t="s">
        <v>24</v>
      </c>
      <c r="E13" s="16">
        <v>0.11797500000000001</v>
      </c>
      <c r="F13" s="17">
        <v>0.11385000000000001</v>
      </c>
      <c r="G13" s="22">
        <f t="shared" si="1"/>
        <v>0.1159125</v>
      </c>
      <c r="M13" s="23" t="s">
        <v>27</v>
      </c>
      <c r="N13">
        <v>20</v>
      </c>
      <c r="O13" s="21">
        <f t="shared" si="0"/>
        <v>0.1130375</v>
      </c>
    </row>
    <row r="14" spans="1:15" x14ac:dyDescent="0.3">
      <c r="A14" s="172"/>
      <c r="B14" s="11" t="s">
        <v>27</v>
      </c>
      <c r="C14" s="12">
        <v>0.10680000000000001</v>
      </c>
      <c r="D14" s="13" t="s">
        <v>24</v>
      </c>
      <c r="E14" s="13">
        <v>0.11447499999999999</v>
      </c>
      <c r="F14" s="14">
        <v>0.1116</v>
      </c>
      <c r="G14" s="22">
        <f t="shared" si="1"/>
        <v>0.1130375</v>
      </c>
      <c r="M14" s="24"/>
    </row>
    <row r="15" spans="1:15" x14ac:dyDescent="0.3">
      <c r="A15" s="173"/>
      <c r="B15" s="7" t="s">
        <v>28</v>
      </c>
      <c r="C15" s="18">
        <v>0.1215</v>
      </c>
      <c r="D15" s="19" t="s">
        <v>24</v>
      </c>
      <c r="E15" s="19" t="s">
        <v>24</v>
      </c>
      <c r="F15" s="20" t="s">
        <v>24</v>
      </c>
    </row>
  </sheetData>
  <mergeCells count="5">
    <mergeCell ref="A1:B2"/>
    <mergeCell ref="C1:C2"/>
    <mergeCell ref="D1:D2"/>
    <mergeCell ref="A3:A5"/>
    <mergeCell ref="A6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2025-07-07T10:56:00Z</dcterms:created>
  <dcterms:modified xsi:type="dcterms:W3CDTF">2025-07-15T15:20:51Z</dcterms:modified>
</cp:coreProperties>
</file>